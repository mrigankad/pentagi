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Task List" sheetId="2" state="visible" r:id="rId4"/>
    <sheet name="Phase Plan" sheetId="3" state="visible" r:id="rId5"/>
    <sheet name="Team Ro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<sst xmlns="http://schemas.openxmlformats.org/spreadsheetml/2006/main" count="775" uniqueCount="453">
  <si>
    <t xml:space="preserve">Vedha — Project Tracker</t>
  </si>
  <si>
    <t xml:space="preserve">Autonomous security-testing platform. End-to-end task tracker derived from the backend roadmap, strategy, and team playbook.</t>
  </si>
  <si>
    <t xml:space="preserve">Generated 2026-10-16. Single source of truth = 'Master Task List'. Fill Owner and Status columns there.</t>
  </si>
  <si>
    <t xml:space="preserve">How to use this workbook</t>
  </si>
  <si>
    <t xml:space="preserve">1. Master Task List: every task with description, files, deliverable, verification, dependencies, effort. Edit Owner + Status here.</t>
  </si>
  <si>
    <t xml:space="preserve">2. Phase Plan: the five delivery phases and which tasks belong to each; use for sprint planning.</t>
  </si>
  <si>
    <t xml:space="preserve">3. Team Roster: the eight teams, their focus, and cross-team dependencies.</t>
  </si>
  <si>
    <t xml:space="preserve">4. Status and priority cells have dropdowns. The summaries below recalc automatically from the Master Task List.</t>
  </si>
  <si>
    <t xml:space="preserve">Status summary</t>
  </si>
  <si>
    <t xml:space="preserve">Priority summary</t>
  </si>
  <si>
    <t xml:space="preserve">Status</t>
  </si>
  <si>
    <t xml:space="preserve">Count</t>
  </si>
  <si>
    <t xml:space="preserve">Priority</t>
  </si>
  <si>
    <t xml:space="preserve">Meaning</t>
  </si>
  <si>
    <t xml:space="preserve">Not Started</t>
  </si>
  <si>
    <t xml:space="preserve">P0</t>
  </si>
  <si>
    <t xml:space="preserve">Safety-critical / pre-real-world</t>
  </si>
  <si>
    <t xml:space="preserve">In Progress</t>
  </si>
  <si>
    <t xml:space="preserve">P1</t>
  </si>
  <si>
    <t xml:space="preserve">Robustness &amp; reliability</t>
  </si>
  <si>
    <t xml:space="preserve">Blocked</t>
  </si>
  <si>
    <t xml:space="preserve">P2</t>
  </si>
  <si>
    <t xml:space="preserve">Scale &amp; quality</t>
  </si>
  <si>
    <t xml:space="preserve">In Review</t>
  </si>
  <si>
    <t xml:space="preserve">-</t>
  </si>
  <si>
    <t xml:space="preserve">Shared setup</t>
  </si>
  <si>
    <t xml:space="preserve">Done</t>
  </si>
  <si>
    <t xml:space="preserve">Total</t>
  </si>
  <si>
    <t xml:space="preserve">Percent complete</t>
  </si>
  <si>
    <t xml:space="preserve">Task ID</t>
  </si>
  <si>
    <t xml:space="preserve">Team</t>
  </si>
  <si>
    <t xml:space="preserve">Phase</t>
  </si>
  <si>
    <t xml:space="preserve">Title</t>
  </si>
  <si>
    <t xml:space="preserve">Description / What to build</t>
  </si>
  <si>
    <t xml:space="preserve">Key files</t>
  </si>
  <si>
    <t xml:space="preserve">Deliverable</t>
  </si>
  <si>
    <t xml:space="preserve">Verification / Acceptance</t>
  </si>
  <si>
    <t xml:space="preserve">Dependencies</t>
  </si>
  <si>
    <t xml:space="preserve">Effort</t>
  </si>
  <si>
    <t xml:space="preserve">Owner</t>
  </si>
  <si>
    <t xml:space="preserve">Notes</t>
  </si>
  <si>
    <t xml:space="preserve">T0.1</t>
  </si>
  <si>
    <t xml:space="preserve">Shared</t>
  </si>
  <si>
    <t xml:space="preserve">P0: Foundations</t>
  </si>
  <si>
    <t xml:space="preserve">Create root CLAUDE.md</t>
  </si>
  <si>
    <t xml:space="preserve">Add shared conventions + architecture map so every Claude Code session picks it up automatically.</t>
  </si>
  <si>
    <t xml:space="preserve">CLAUDE.md</t>
  </si>
  <si>
    <t xml:space="preserve">CLAUDE.md in repo root</t>
  </si>
  <si>
    <t xml:space="preserve">File exists; a fresh Claude Code session cites the build/test commands and conventions.</t>
  </si>
  <si>
    <t xml:space="preserve">S</t>
  </si>
  <si>
    <t xml:space="preserve">T0.2</t>
  </si>
  <si>
    <t xml:space="preserve">Agree integration branch &amp; migration order</t>
  </si>
  <si>
    <t xml:space="preserve">Leads agree the integration branch name and a global ordering/numbering for DB migrations to avoid collisions.</t>
  </si>
  <si>
    <t xml:space="preserve">docs/</t>
  </si>
  <si>
    <t xml:space="preserve">Written agreement in docs/</t>
  </si>
  <si>
    <t xml:space="preserve">A single documented migration order exists; Teams 1/4/5 reference it.</t>
  </si>
  <si>
    <t xml:space="preserve">T0.3</t>
  </si>
  <si>
    <t xml:space="preserve">Config-flag convention</t>
  </si>
  <si>
    <t xml:space="preserve">Agree the VEDHA_ flag naming and safe-default rule; add a short section to config docs.</t>
  </si>
  <si>
    <t xml:space="preserve">backend/pkg/config/config.go</t>
  </si>
  <si>
    <t xml:space="preserve">Documented convention</t>
  </si>
  <si>
    <t xml:space="preserve">All new runtime-behavior flags use VEDHA_ prefix with a safe default.</t>
  </si>
  <si>
    <t xml:space="preserve">T1.1</t>
  </si>
  <si>
    <t xml:space="preserve">1 Safety &amp; Policy</t>
  </si>
  <si>
    <t xml:space="preserve">P0: Safety Floor</t>
  </si>
  <si>
    <t xml:space="preserve">Scope engine core package</t>
  </si>
  <si>
    <t xml:space="preserve">New package with Scope type (allowed CIDRs, domains w/ wildcards, ports, deny list, time window) and Check(target).</t>
  </si>
  <si>
    <t xml:space="preserve">backend/pkg/tools/scope/</t>
  </si>
  <si>
    <t xml:space="preserve">scope package + table-driven tests</t>
  </si>
  <si>
    <t xml:space="preserve">go test ./pkg/tools/scope/ passes; cases cover IPv4/IPv6 CIDR, wildcard domains, deny precedence, ports, malformed input.</t>
  </si>
  <si>
    <t xml:space="preserve">M</t>
  </si>
  <si>
    <t xml:space="preserve">T1.2</t>
  </si>
  <si>
    <t xml:space="preserve">Enforce scope at tool boundary</t>
  </si>
  <si>
    <t xml:space="preserve">Intercept terminal/pentester/browser calls, extract target, call Check; deny out-of-scope. Behind VEDHA_SCOPE_ENFORCEMENT (default off).</t>
  </si>
  <si>
    <t xml:space="preserve">backend/pkg/tools/executor.go, terminal.go, browser.go</t>
  </si>
  <si>
    <t xml:space="preserve">Enforcement wired behind flag</t>
  </si>
  <si>
    <t xml:space="preserve">With flag on and single-host scope, an out-of-scope target returns a deny string and the handler is never called (test double asserts).</t>
  </si>
  <si>
    <t xml:space="preserve">T1.3</t>
  </si>
  <si>
    <t xml:space="preserve">Budgets &amp; kill-switch</t>
  </si>
  <si>
    <t xml:space="preserve">Per-flow caps on cost(USD), iterations, wall-clock. Accumulate each loop; stop flow when a non-zero cap is exceeded.</t>
  </si>
  <si>
    <t xml:space="preserve">backend/pkg/providers/performer.go, controller/flow.go, config.go</t>
  </si>
  <si>
    <t xml:space="preserve">Budget enforcement + tests</t>
  </si>
  <si>
    <t xml:space="preserve">With a tiny VEDHA_MAX_FLOW_ITERATIONS the flow stops at the cap; defaults leave behavior unchanged.</t>
  </si>
  <si>
    <t xml:space="preserve">T1.4</t>
  </si>
  <si>
    <t xml:space="preserve">P3: Product &amp; Trust</t>
  </si>
  <si>
    <t xml:space="preserve">Human-approval gate</t>
  </si>
  <si>
    <t xml:space="preserve">Gate high-impact actions (confirmed exploitation, credential use, destructive cmds) via the existing ask tool.</t>
  </si>
  <si>
    <t xml:space="preserve">backend/pkg/tools/executor.go, tools.go</t>
  </si>
  <si>
    <t xml:space="preserve">Approval gate behind flag</t>
  </si>
  <si>
    <t xml:space="preserve">A flagged high-impact action pauses for approval and does not execute until approved (test).</t>
  </si>
  <si>
    <t xml:space="preserve">T1.5</t>
  </si>
  <si>
    <t xml:space="preserve">Scope schema: migration + API inputs</t>
  </si>
  <si>
    <t xml:space="preserve">Add scope JSON column on flows; extend GraphQL/REST create-flow inputs to accept a scope.</t>
  </si>
  <si>
    <t xml:space="preserve">backend/migrations/sql/, backend/pkg/graph/, server/</t>
  </si>
  <si>
    <t xml:space="preserve">Migration + API field</t>
  </si>
  <si>
    <t xml:space="preserve">Migration applies up/down; a flow can be created with a scope via API and it persists.</t>
  </si>
  <si>
    <t xml:space="preserve">T1.1,T0.2</t>
  </si>
  <si>
    <t xml:space="preserve">T1.6</t>
  </si>
  <si>
    <t xml:space="preserve">Policy docs + target-parsing threat model</t>
  </si>
  <si>
    <t xml:space="preserve">Document policy format; threat-model the target extraction so obfuscated commands cannot evade the check (deny-on-uncertainty).</t>
  </si>
  <si>
    <t xml:space="preserve">Doc + threat model</t>
  </si>
  <si>
    <t xml:space="preserve">Security reviewer signs off; ambiguous targets default to deny in tests.</t>
  </si>
  <si>
    <t xml:space="preserve">T2.1</t>
  </si>
  <si>
    <t xml:space="preserve">2 Sandbox &amp; Infra</t>
  </si>
  <si>
    <t xml:space="preserve">Container capability hardening</t>
  </si>
  <si>
    <t xml:space="preserve">Drop all caps, add back NET_RAW always + NET_ADMIN only when enabled; set no-new-privileges, seccomp.</t>
  </si>
  <si>
    <t xml:space="preserve">backend/pkg/docker/client.go</t>
  </si>
  <si>
    <t xml:space="preserve">Hardened container create</t>
  </si>
  <si>
    <t xml:space="preserve">nmap SYN scan still works; capsh --print shows reduced caps; existing toolchain unaffected.</t>
  </si>
  <si>
    <t xml:space="preserve">T2.2</t>
  </si>
  <si>
    <t xml:space="preserve">Sandbox resource limits</t>
  </si>
  <si>
    <t xml:space="preserve">Set Memory, NanoCPUs, PidsLimit from VEDHA_SANDBOX_* config.</t>
  </si>
  <si>
    <t xml:space="preserve">backend/pkg/docker/client.go, config.go</t>
  </si>
  <si>
    <t xml:space="preserve">Resource limits applied</t>
  </si>
  <si>
    <t xml:space="preserve">A fork bomb / memory hog in the sandbox is bounded; limits visible via docker inspect.</t>
  </si>
  <si>
    <t xml:space="preserve">T2.3</t>
  </si>
  <si>
    <t xml:space="preserve">Remove/proxy host Docker socket</t>
  </si>
  <si>
    <t xml:space="preserve">Eliminate raw /var/run/docker.sock mount under DOCKER_INSIDE, or replace with a restricted socket proxy.</t>
  </si>
  <si>
    <t xml:space="preserve">Decision + implementation</t>
  </si>
  <si>
    <t xml:space="preserve">No raw host socket is exposed to agent-run code; decision documented.</t>
  </si>
  <si>
    <t xml:space="preserve">T2.4</t>
  </si>
  <si>
    <t xml:space="preserve">P1: Reliability</t>
  </si>
  <si>
    <t xml:space="preserve">Terminal: honest timeout ceiling</t>
  </si>
  <si>
    <t xml:space="preserve">Honor documented 1200s ceiling instead of silently clamping &gt;20min down to 5min.</t>
  </si>
  <si>
    <t xml:space="preserve">backend/pkg/tools/terminal.go</t>
  </si>
  <si>
    <t xml:space="preserve">Fixed timeout logic + tests</t>
  </si>
  <si>
    <t xml:space="preserve">A 30-min timeout runs 30 min; clamp logic unit-tested.</t>
  </si>
  <si>
    <t xml:space="preserve">T2.5</t>
  </si>
  <si>
    <t xml:space="preserve">Terminal: trackable detached execs</t>
  </si>
  <si>
    <t xml:space="preserve">Registry of background executions keyed by id so output is retrievable and they are cancellable.</t>
  </si>
  <si>
    <t xml:space="preserve">Detach registry + tests</t>
  </si>
  <si>
    <t xml:space="preserve">A detached command's output can be fetched later and the job cancelled.</t>
  </si>
  <si>
    <t xml:space="preserve">T2.6</t>
  </si>
  <si>
    <t xml:space="preserve">Terminal: surface exit codes</t>
  </si>
  <si>
    <t xml:space="preserve">Read exit code from ContainerExecInspect and include it in results.</t>
  </si>
  <si>
    <t xml:space="preserve">Exit code in result + tests</t>
  </si>
  <si>
    <t xml:space="preserve">A failing command reports non-zero; empty output no longer masquerades as success.</t>
  </si>
  <si>
    <t xml:space="preserve">T2.7</t>
  </si>
  <si>
    <t xml:space="preserve">Azure IaC (Bicep)</t>
  </si>
  <si>
    <t xml:space="preserve">Bicep modules: AKS/Container Apps, session pool, Postgres+pgvector, AI Search, Key Vault, Entra app, VNet+NSG+Firewall, Front Door+WAF.</t>
  </si>
  <si>
    <t xml:space="preserve">deploy/</t>
  </si>
  <si>
    <t xml:space="preserve">Validated Bicep + README</t>
  </si>
  <si>
    <t xml:space="preserve">az bicep build succeeds with no errors; README documents deploy commands.</t>
  </si>
  <si>
    <t xml:space="preserve">L</t>
  </si>
  <si>
    <t xml:space="preserve">T2.8</t>
  </si>
  <si>
    <t xml:space="preserve">Azure Container Apps sandbox adapter</t>
  </si>
  <si>
    <t xml:space="preserve">Adapter so tool execution can target ACA Dynamic Sessions/Sandboxes (microVM) instead of raw Docker.</t>
  </si>
  <si>
    <t xml:space="preserve">backend/pkg/docker/ (interface), new adapter</t>
  </si>
  <si>
    <t xml:space="preserve">Pluggable sandbox backend</t>
  </si>
  <si>
    <t xml:space="preserve">Same tool run succeeds against the ACA backend in staging; Docker backend still works.</t>
  </si>
  <si>
    <t xml:space="preserve">T2.9</t>
  </si>
  <si>
    <t xml:space="preserve">Network egress enforcement</t>
  </si>
  <si>
    <t xml:space="preserve">Default-deny outbound; allow only in-scope targets + required infra via NSG/Azure Firewall / local nftables sidecar.</t>
  </si>
  <si>
    <t xml:space="preserve">backend/pkg/docker/client.go, deploy/</t>
  </si>
  <si>
    <t xml:space="preserve">Egress policy aligned to scope</t>
  </si>
  <si>
    <t xml:space="preserve">Out-of-scope egress from the sandbox is blocked at the network, mirroring T1.1 allowlist.</t>
  </si>
  <si>
    <t xml:space="preserve">T1.1,T2.7</t>
  </si>
  <si>
    <t xml:space="preserve">T2.10</t>
  </si>
  <si>
    <t xml:space="preserve">P4: Scale &amp; GA</t>
  </si>
  <si>
    <t xml:space="preserve">Sandbox fleet runbook</t>
  </si>
  <si>
    <t xml:space="preserve">Operational runbook for provisioning, scaling, and tearing down sandboxes.</t>
  </si>
  <si>
    <t xml:space="preserve">Runbook</t>
  </si>
  <si>
    <t xml:space="preserve">On-call can follow the runbook to operate the fleet.</t>
  </si>
  <si>
    <t xml:space="preserve">T3.1</t>
  </si>
  <si>
    <t xml:space="preserve">3 Providers &amp; Models</t>
  </si>
  <si>
    <t xml:space="preserve">Per-role model config update</t>
  </si>
  <si>
    <t xml:space="preserve">Set best-fit model per tier across anthropic/openai/gemini configs (deep/orchestration/cheap).</t>
  </si>
  <si>
    <t xml:space="preserve">backend/pkg/providers/*/config.yml</t>
  </si>
  <si>
    <t xml:space="preserve">Updated role-&gt;model maps</t>
  </si>
  <si>
    <t xml:space="preserve">Configs load/validate; testAgent passes for each role with staging keys.</t>
  </si>
  <si>
    <t xml:space="preserve">T3.2</t>
  </si>
  <si>
    <t xml:space="preserve">Bedrock tiering + reasoning</t>
  </si>
  <si>
    <t xml:space="preserve">Replace single-model-for-all with real tiering; add reasoning blocks for thinking-capable models.</t>
  </si>
  <si>
    <t xml:space="preserve">backend/pkg/providers/bedrock/config.yml</t>
  </si>
  <si>
    <t xml:space="preserve">Tiered Bedrock config</t>
  </si>
  <si>
    <t xml:space="preserve">Bedrock roles use tier-appropriate models; reasoning blocks present; tests pass.</t>
  </si>
  <si>
    <t xml:space="preserve">T3.3</t>
  </si>
  <si>
    <t xml:space="preserve">Reconcile default-model constants</t>
  </si>
  <si>
    <t xml:space="preserve">Align hardcoded Go default model constants with the YAML so they don't silently diverge.</t>
  </si>
  <si>
    <t xml:space="preserve">backend/pkg/providers/*/*.go</t>
  </si>
  <si>
    <t xml:space="preserve">Consistent defaults</t>
  </si>
  <si>
    <t xml:space="preserve">Grep shows Go defaults match a real role model; no orphan defaults (e.g. gemini-2.5-flash).</t>
  </si>
  <si>
    <t xml:space="preserve">T3.4</t>
  </si>
  <si>
    <t xml:space="preserve">Model fallback &amp; failover</t>
  </si>
  <si>
    <t xml:space="preserve">Ordered fallback models (+ optional fallback provider) tried on retryable/capacity failure before abort. Flag VEDHA_MODEL_FALLBACK.</t>
  </si>
  <si>
    <t xml:space="preserve">backend/pkg/providers/provider/wrapper.go, performer.go, pconfig</t>
  </si>
  <si>
    <t xml:space="preserve">Fallback chain + tests</t>
  </si>
  <si>
    <t xml:space="preserve">Fake primary returns 429 past budget -&gt; task completes on fallback model.</t>
  </si>
  <si>
    <t xml:space="preserve">T3.5</t>
  </si>
  <si>
    <t xml:space="preserve">Token-aware context management</t>
  </si>
  <si>
    <t xml:space="preserve">Per-model context-window table + token counting drives summarization; byte caps become fallback for unknown models.</t>
  </si>
  <si>
    <t xml:space="preserve">backend/pkg/providers/provider.go, csum/</t>
  </si>
  <si>
    <t xml:space="preserve">Token-aware limits + tests</t>
  </si>
  <si>
    <t xml:space="preserve">A long chat stays under the model's real window; no overflow; unknown model falls back to byte caps.</t>
  </si>
  <si>
    <t xml:space="preserve">T3.6</t>
  </si>
  <si>
    <t xml:space="preserve">Proactive rate limiting + jittered backoff</t>
  </si>
  <si>
    <t xml:space="preserve">Client-side concurrency/token-rate limiter per provider; jittered exponential backoff; robust 429 detection.</t>
  </si>
  <si>
    <t xml:space="preserve">backend/pkg/providers/provider/wrapper.go</t>
  </si>
  <si>
    <t xml:space="preserve">Limiter + backoff + tests</t>
  </si>
  <si>
    <t xml:space="preserve">Parallel sub-agents do not burst past provider limits in a load test; backoff has jitter.</t>
  </si>
  <si>
    <t xml:space="preserve">T3.7</t>
  </si>
  <si>
    <t xml:space="preserve">Embedding upgrade + version guard</t>
  </si>
  <si>
    <t xml:space="preserve">Default to text-embedding-3-large (configurable); tag vectors with embedding-model version; refuse mixed-model search.</t>
  </si>
  <si>
    <t xml:space="preserve">backend/pkg/providers/embeddings/embedder.go</t>
  </si>
  <si>
    <t xml:space="preserve">Upgrade + version guard</t>
  </si>
  <si>
    <t xml:space="preserve">Switching models surfaces the version guard, not silent bad matches; guard unit-tested.</t>
  </si>
  <si>
    <t xml:space="preserve">T3.8</t>
  </si>
  <si>
    <t xml:space="preserve">P2: Scale &amp; Quality</t>
  </si>
  <si>
    <t xml:space="preserve">Single source of truth for prices</t>
  </si>
  <si>
    <t xml:space="preserve">Reconcile config.yml vs models.yml prices; document the update process.</t>
  </si>
  <si>
    <t xml:space="preserve">backend/pkg/providers/*/config.yml, models.yml</t>
  </si>
  <si>
    <t xml:space="preserve">Reconciled prices + doc</t>
  </si>
  <si>
    <t xml:space="preserve">No price disagreements between the two files; cost accounting matches provider pricing.</t>
  </si>
  <si>
    <t xml:space="preserve">T4.1</t>
  </si>
  <si>
    <t xml:space="preserve">4 Memory &amp; Data</t>
  </si>
  <si>
    <t xml:space="preserve">Typed findings &amp; evidence model</t>
  </si>
  <si>
    <t xml:space="preserve">Migration for findings + evidence tables; sqlc queries; Go model following existing patterns.</t>
  </si>
  <si>
    <t xml:space="preserve">backend/migrations/sql/, sqlc/models/, pkg/database/</t>
  </si>
  <si>
    <t xml:space="preserve">Findings schema + queries</t>
  </si>
  <si>
    <t xml:space="preserve">Migration up/down clean; a finding round-trips with all typed fields; query tests pass.</t>
  </si>
  <si>
    <t xml:space="preserve">T4.2</t>
  </si>
  <si>
    <t xml:space="preserve">report_finding barrier tool</t>
  </si>
  <si>
    <t xml:space="preserve">New validated barrier tool for agents to record a typed finding.</t>
  </si>
  <si>
    <t xml:space="preserve">backend/pkg/tools/</t>
  </si>
  <si>
    <t xml:space="preserve">report_finding tool</t>
  </si>
  <si>
    <t xml:space="preserve">Agent records a finding via the tool; schema validation rejects malformed findings.</t>
  </si>
  <si>
    <t xml:space="preserve">T4.3</t>
  </si>
  <si>
    <t xml:space="preserve">Managed pgvector schema</t>
  </si>
  <si>
    <t xml:space="preserve">Bring embedding table under migration control with pinned dimension + HNSW index.</t>
  </si>
  <si>
    <t xml:space="preserve">backend/migrations/sql/</t>
  </si>
  <si>
    <t xml:space="preserve">Managed vector schema</t>
  </si>
  <si>
    <t xml:space="preserve">Migration applies; similarity queries use the HNSW index (check query plan).</t>
  </si>
  <si>
    <t xml:space="preserve">T4.4</t>
  </si>
  <si>
    <t xml:space="preserve">RAG reranking</t>
  </si>
  <si>
    <t xml:space="preserve">Reranking after similarity search behind VEDHA_RERANK; local + Azure AI Search implementations.</t>
  </si>
  <si>
    <t xml:space="preserve">backend/pkg/tools/memory.go</t>
  </si>
  <si>
    <t xml:space="preserve">Reranker interface + 2 impls</t>
  </si>
  <si>
    <t xml:space="preserve">With rerank on, results return in reranker order; fake-reranker test asserts reorder.</t>
  </si>
  <si>
    <t xml:space="preserve">T4.5</t>
  </si>
  <si>
    <t xml:space="preserve">Attack-path graph schema</t>
  </si>
  <si>
    <t xml:space="preserve">Unified graph (assets, creds, findings, relationships) on Graphiti/Neo4j spanning web+network+cloud.</t>
  </si>
  <si>
    <t xml:space="preserve">backend/pkg/graphiti/, templates/graphiti/</t>
  </si>
  <si>
    <t xml:space="preserve">Graph schema + writers</t>
  </si>
  <si>
    <t xml:space="preserve">A web foothold and a network finding link in one graph; traversal returns the chain.</t>
  </si>
  <si>
    <t xml:space="preserve">T4.6</t>
  </si>
  <si>
    <t xml:space="preserve">Log retention &amp; partitioning</t>
  </si>
  <si>
    <t xml:space="preserve">Time-based partitioning + retention for termlogs/msglogs/toolcalls.</t>
  </si>
  <si>
    <t xml:space="preserve">Partitioning + retention</t>
  </si>
  <si>
    <t xml:space="preserve">Old rows age out per policy; high-volume tables partitioned; no unbounded growth.</t>
  </si>
  <si>
    <t xml:space="preserve">T4.7</t>
  </si>
  <si>
    <t xml:space="preserve">Re-embedding migration</t>
  </si>
  <si>
    <t xml:space="preserve">Migration/tooling to re-embed stored vectors when the embedding model changes.</t>
  </si>
  <si>
    <t xml:space="preserve">backend/migrations/sql/, tooling</t>
  </si>
  <si>
    <t xml:space="preserve">Re-embedding path</t>
  </si>
  <si>
    <t xml:space="preserve">Running it re-embeds existing content under the new model and updates version tags.</t>
  </si>
  <si>
    <t xml:space="preserve">T3.7,T4.3</t>
  </si>
  <si>
    <t xml:space="preserve">T4.8</t>
  </si>
  <si>
    <t xml:space="preserve">Findings taxonomy</t>
  </si>
  <si>
    <t xml:space="preserve">Define vulnerability classes, severity scale, CVSS usage with security input.</t>
  </si>
  <si>
    <t xml:space="preserve">Taxonomy doc</t>
  </si>
  <si>
    <t xml:space="preserve">Taxonomy agreed and referenced by T4.1 schema enums.</t>
  </si>
  <si>
    <t xml:space="preserve">T5.1</t>
  </si>
  <si>
    <t xml:space="preserve">5 Platform &amp; Identity</t>
  </si>
  <si>
    <t xml:space="preserve">Authorization characterization tests</t>
  </si>
  <si>
    <t xml:space="preserve">Tests locking in current GraphQL/permission authz behavior before changing it.</t>
  </si>
  <si>
    <t xml:space="preserve">backend/pkg/graph/context.go, server/auth/permissions.go</t>
  </si>
  <si>
    <t xml:space="preserve">Authz test suite</t>
  </si>
  <si>
    <t xml:space="preserve">Tests cover cross-user denial, admin bypass, *.admin regex, missing-perm denial; all pass on current code.</t>
  </si>
  <si>
    <t xml:space="preserve">T5.2</t>
  </si>
  <si>
    <t xml:space="preserve">Entra ID OIDC provider</t>
  </si>
  <si>
    <t xml:space="preserve">Add Microsoft Entra ID OIDC alongside Google/GitHub; map Entra groups to roles. Gated by OAUTH_ENTRA_*.</t>
  </si>
  <si>
    <t xml:space="preserve">backend/pkg/server/oauth/</t>
  </si>
  <si>
    <t xml:space="preserve">Entra provider + tests</t>
  </si>
  <si>
    <t xml:space="preserve">An Entra login creates/links a user with the mapped role; existing providers unaffected.</t>
  </si>
  <si>
    <t xml:space="preserve">T5.3</t>
  </si>
  <si>
    <t xml:space="preserve">SAML seam</t>
  </si>
  <si>
    <t xml:space="preserve">Clean extension point for SAML on top of the OIDC work.</t>
  </si>
  <si>
    <t xml:space="preserve">backend/pkg/server/oauth/, auth/</t>
  </si>
  <si>
    <t xml:space="preserve">SAML interface seam</t>
  </si>
  <si>
    <t xml:space="preserve">SAML can be added without reworking the auth flow; seam documented.</t>
  </si>
  <si>
    <t xml:space="preserve">T5.4</t>
  </si>
  <si>
    <t xml:space="preserve">Tenancy &amp; isolation</t>
  </si>
  <si>
    <t xml:space="preserve">tenants table + tenant_id on users/flows; enforce isolation in ownership checks; default single tenant.</t>
  </si>
  <si>
    <t xml:space="preserve">backend/migrations/sql/, pkg/graph/context.go</t>
  </si>
  <si>
    <t xml:space="preserve">Tenancy + isolation</t>
  </si>
  <si>
    <t xml:space="preserve">User in tenant A cannot see tenant B flows (test); existing installs migrate to one tenant.</t>
  </si>
  <si>
    <t xml:space="preserve">T5.1,T0.2</t>
  </si>
  <si>
    <t xml:space="preserve">T5.5</t>
  </si>
  <si>
    <t xml:space="preserve">Audit log</t>
  </si>
  <si>
    <t xml:space="preserve">Append-only audit_log table; record flow create/delete, provider/prompt changes, logins, token use.</t>
  </si>
  <si>
    <t xml:space="preserve">backend/migrations/sql/, new audit package</t>
  </si>
  <si>
    <t xml:space="preserve">Audit log + recording</t>
  </si>
  <si>
    <t xml:space="preserve">Each audited action produces exactly one row with actor/action/target (tests).</t>
  </si>
  <si>
    <t xml:space="preserve">T5.6</t>
  </si>
  <si>
    <t xml:space="preserve">Super-admin &amp; data migration</t>
  </si>
  <si>
    <t xml:space="preserve">Define super-admin model; plan+implement data migration for existing single-tenant installs.</t>
  </si>
  <si>
    <t xml:space="preserve">backend/migrations/sql/, docs/</t>
  </si>
  <si>
    <t xml:space="preserve">Super-admin + migration</t>
  </si>
  <si>
    <t xml:space="preserve">Super-admin crosses tenants by design; existing data migrates cleanly.</t>
  </si>
  <si>
    <t xml:space="preserve">T6.1</t>
  </si>
  <si>
    <t xml:space="preserve">6 Reporting &amp; Integrations</t>
  </si>
  <si>
    <t xml:space="preserve">Reporter from typed findings</t>
  </si>
  <si>
    <t xml:space="preserve">Build reports (structured JSON + PDF) from the findings table instead of free text. Old path behind a flag during transition.</t>
  </si>
  <si>
    <t xml:space="preserve">backend/pkg/templates/prompts/reporter.tmpl, reporter path</t>
  </si>
  <si>
    <t xml:space="preserve">New reporter + tests</t>
  </si>
  <si>
    <t xml:space="preserve">A report from fixture findings contains every finding with evidence + confidence.</t>
  </si>
  <si>
    <t xml:space="preserve">T6.2</t>
  </si>
  <si>
    <t xml:space="preserve">Verified proof-of-exploit</t>
  </si>
  <si>
    <t xml:space="preserve">Attach exact command chain + captured evidence + confidence score to each finding.</t>
  </si>
  <si>
    <t xml:space="preserve">findings package, reporter</t>
  </si>
  <si>
    <t xml:space="preserve">Proof attached to findings</t>
  </si>
  <si>
    <t xml:space="preserve">'Verified' label only applied when exploitation actually succeeded (security review).</t>
  </si>
  <si>
    <t xml:space="preserve">T4.1,T6.1</t>
  </si>
  <si>
    <t xml:space="preserve">T6.3</t>
  </si>
  <si>
    <t xml:space="preserve">Run-to-run diffing</t>
  </si>
  <si>
    <t xml:space="preserve">Stable finding fingerprint; compute new/fixed/still-open across runs; expose via API + reports.</t>
  </si>
  <si>
    <t xml:space="preserve">findings package, API</t>
  </si>
  <si>
    <t xml:space="preserve">Diff engine + tests</t>
  </si>
  <si>
    <t xml:space="preserve">Two runs (one fixed, one new) report exactly one fixed and one new.</t>
  </si>
  <si>
    <t xml:space="preserve">T6.4</t>
  </si>
  <si>
    <t xml:space="preserve">Integrations framework + Jira + webhook</t>
  </si>
  <si>
    <t xml:space="preserve">Common PushFinding/PushReport interface; Jira + signed generic webhook first; per-tenant config.</t>
  </si>
  <si>
    <t xml:space="preserve">backend/pkg/integrations/</t>
  </si>
  <si>
    <t xml:space="preserve">Framework + 2 integrations</t>
  </si>
  <si>
    <t xml:space="preserve">Each posts expected payload to an httptest server; no live calls in CI.</t>
  </si>
  <si>
    <t xml:space="preserve">T6.5</t>
  </si>
  <si>
    <t xml:space="preserve">DefectDojo + Slack integrations</t>
  </si>
  <si>
    <t xml:space="preserve">Add DefectDojo and Slack on the integrations framework.</t>
  </si>
  <si>
    <t xml:space="preserve">2 more integrations</t>
  </si>
  <si>
    <t xml:space="preserve">httptest assertions for each; per-tenant config respected.</t>
  </si>
  <si>
    <t xml:space="preserve">T6.6</t>
  </si>
  <si>
    <t xml:space="preserve">Integration docs + verified-label review</t>
  </si>
  <si>
    <t xml:space="preserve">Customer-facing setup/field-mapping docs; security review of the verified label semantics.</t>
  </si>
  <si>
    <t xml:space="preserve">Docs + sign-off</t>
  </si>
  <si>
    <t xml:space="preserve">Docs cover each integration; reviewer confirms verified semantics.</t>
  </si>
  <si>
    <t xml:space="preserve">T6.4,T6.2</t>
  </si>
  <si>
    <t xml:space="preserve">T7.1</t>
  </si>
  <si>
    <t xml:space="preserve">7 Eval &amp; QA</t>
  </si>
  <si>
    <t xml:space="preserve">Evaluation harness</t>
  </si>
  <si>
    <t xml:space="preserve">cmd/eval runs Vedha vs known-vulnerable targets, compares to ground truth, outputs detection rate, FP rate, cost, time (JSON).</t>
  </si>
  <si>
    <t xml:space="preserve">backend/cmd/eval/ (or eval/)</t>
  </si>
  <si>
    <t xml:space="preserve">Eval harness + 1 target</t>
  </si>
  <si>
    <t xml:space="preserve">Produces a JSON report with the four metrics against at least one real vulnerable target.</t>
  </si>
  <si>
    <t xml:space="preserve">T7.2</t>
  </si>
  <si>
    <t xml:space="preserve">Grow benchmark corpus</t>
  </si>
  <si>
    <t xml:space="preserve">Add targets + ground truth; publish methodology (also a marketing asset).</t>
  </si>
  <si>
    <t xml:space="preserve">eval/</t>
  </si>
  <si>
    <t xml:space="preserve">Expanded corpus</t>
  </si>
  <si>
    <t xml:space="preserve">Corpus covers multiple vuln classes; methodology published.</t>
  </si>
  <si>
    <t xml:space="preserve">T7.3</t>
  </si>
  <si>
    <t xml:space="preserve">Controller lifecycle tests</t>
  </si>
  <si>
    <t xml:space="preserve">Unit tests for flow lifecycle (create, status transitions, stop, finish) using fakes.</t>
  </si>
  <si>
    <t xml:space="preserve">backend/pkg/controller/</t>
  </si>
  <si>
    <t xml:space="preserve">Controller tests</t>
  </si>
  <si>
    <t xml:space="preserve">Coverage of the flow lifecycle rises from ~0 to an agreed floor (e.g. 50%).</t>
  </si>
  <si>
    <t xml:space="preserve">T7.4</t>
  </si>
  <si>
    <t xml:space="preserve">Agent loop tests</t>
  </si>
  <si>
    <t xml:space="preserve">Tests for agent loop stop conditions and retry paths with provider/db fakes.</t>
  </si>
  <si>
    <t xml:space="preserve">backend/pkg/providers/performer.go</t>
  </si>
  <si>
    <t xml:space="preserve">Stop conditions and retries covered; no production logic changed silently.</t>
  </si>
  <si>
    <t xml:space="preserve">T7.5</t>
  </si>
  <si>
    <t xml:space="preserve">Docker client tests</t>
  </si>
  <si>
    <t xml:space="preserve">Tests for container provisioning/lifecycle with a fake docker client.</t>
  </si>
  <si>
    <t xml:space="preserve">backend/pkg/docker/</t>
  </si>
  <si>
    <t xml:space="preserve">Docker tests</t>
  </si>
  <si>
    <t xml:space="preserve">Create/hardening/limits/teardown covered against a fake client.</t>
  </si>
  <si>
    <t xml:space="preserve">T2.1,T2.2</t>
  </si>
  <si>
    <t xml:space="preserve">T7.6</t>
  </si>
  <si>
    <t xml:space="preserve">Memory path tests</t>
  </si>
  <si>
    <t xml:space="preserve">Tests for the RAG store/retrieve path with a fake vector store.</t>
  </si>
  <si>
    <t xml:space="preserve">Memory tests</t>
  </si>
  <si>
    <t xml:space="preserve">Store, retrieve, flow-scoping, and fallback filters covered.</t>
  </si>
  <si>
    <t xml:space="preserve">T7.7</t>
  </si>
  <si>
    <t xml:space="preserve">CI PR workflow</t>
  </si>
  <si>
    <t xml:space="preserve">GitHub Actions: build, vet, gofmt, golangci-lint, test -race; required on PRs; Go build cache.</t>
  </si>
  <si>
    <t xml:space="preserve">.github/workflows/</t>
  </si>
  <si>
    <t xml:space="preserve">Required PR workflow</t>
  </si>
  <si>
    <t xml:space="preserve">Fails on a deliberately broken build; passes clean; marked required.</t>
  </si>
  <si>
    <t xml:space="preserve">T7.8</t>
  </si>
  <si>
    <t xml:space="preserve">Nightly eval workflow</t>
  </si>
  <si>
    <t xml:space="preserve">Nightly run of the eval harness against the corpus; upload JSON report as artifact.</t>
  </si>
  <si>
    <t xml:space="preserve">Nightly eval job</t>
  </si>
  <si>
    <t xml:space="preserve">Nightly run produces and uploads the metrics report.</t>
  </si>
  <si>
    <t xml:space="preserve">T7.1,T7.7</t>
  </si>
  <si>
    <t xml:space="preserve">T7.9</t>
  </si>
  <si>
    <t xml:space="preserve">Own CLAUDE.md + quality gates</t>
  </si>
  <si>
    <t xml:space="preserve">Maintain canonical CLAUDE.md; set and enforce coverage + lint gates in CI.</t>
  </si>
  <si>
    <t xml:space="preserve">CLAUDE.md, .github/workflows/</t>
  </si>
  <si>
    <t xml:space="preserve">Gates enforced</t>
  </si>
  <si>
    <t xml:space="preserve">CI enforces lint + coverage floor; CLAUDE.md kept current.</t>
  </si>
  <si>
    <t xml:space="preserve">T0.1,T7.7</t>
  </si>
  <si>
    <t xml:space="preserve">Delivery Phases</t>
  </si>
  <si>
    <t xml:space="preserve">Sequencing for ~9-12 months to enterprise GA with a 3-8 person senior team. Durations are planning ballparks, not commitments.</t>
  </si>
  <si>
    <t xml:space="preserve">Duration (ballpark)</t>
  </si>
  <si>
    <t xml:space="preserve">Team size</t>
  </si>
  <si>
    <t xml:space="preserve">Goal</t>
  </si>
  <si>
    <t xml:space="preserve">Exit / success target</t>
  </si>
  <si>
    <t xml:space="preserve">Task count</t>
  </si>
  <si>
    <t xml:space="preserve">~1 month</t>
  </si>
  <si>
    <t xml:space="preserve">2-3</t>
  </si>
  <si>
    <t xml:space="preserve">Provider abstraction, sandbox skeleton, safety-layer + findings-model + eval scaffolding, CI.</t>
  </si>
  <si>
    <t xml:space="preserve">One agent runs one safe, scoped, evidenced finding end to end.</t>
  </si>
  <si>
    <t xml:space="preserve">within month 1-2</t>
  </si>
  <si>
    <t xml:space="preserve">3-5</t>
  </si>
  <si>
    <t xml:space="preserve">Scope engine, egress, hardening, resource limits, budgets, socket, secrets.</t>
  </si>
  <si>
    <t xml:space="preserve">Nothing runs against a real network until this lands.</t>
  </si>
  <si>
    <t xml:space="preserve">2-3 months</t>
  </si>
  <si>
    <t xml:space="preserve">3-6</t>
  </si>
  <si>
    <t xml:space="preserve">Model upgrade + fallback, token-aware context, terminal fixes, rate limiting, embeddings.</t>
  </si>
  <si>
    <t xml:space="preserve">Long autonomous runs survive provider blips; correct exit/timeout semantics.</t>
  </si>
  <si>
    <t xml:space="preserve">parallel + 2-3 months</t>
  </si>
  <si>
    <t xml:space="preserve">4-6</t>
  </si>
  <si>
    <t xml:space="preserve">Vector schema, reranking, retention, Docker/memory tests, price reconciliation.</t>
  </si>
  <si>
    <t xml:space="preserve">Managed data layer; risky core under test.</t>
  </si>
  <si>
    <t xml:space="preserve">3-4 months</t>
  </si>
  <si>
    <t xml:space="preserve">5-8</t>
  </si>
  <si>
    <t xml:space="preserve">Findings/reporting, verified proof, diffing, Entra SSO, tenancy, audit, integrations, attack graph, ACA sandbox.</t>
  </si>
  <si>
    <t xml:space="preserve">Pass a design partner security review; measurable FP rate.</t>
  </si>
  <si>
    <t xml:space="preserve">ongoing</t>
  </si>
  <si>
    <t xml:space="preserve">8+</t>
  </si>
  <si>
    <t xml:space="preserve">Benchmark corpus, more integrations, runbooks, docs, managed cloud tier.</t>
  </si>
  <si>
    <t xml:space="preserve">Paying customers, SLA, continuous engagements at scale.</t>
  </si>
  <si>
    <t xml:space="preserve">Teams &amp; Dependencies</t>
  </si>
  <si>
    <t xml:space="preserve">Eight workstreams. Each team owns its section of the playbook (docs/VEDHA_TEAM_PLAYBOOK.md).</t>
  </si>
  <si>
    <t xml:space="preserve">Focus</t>
  </si>
  <si>
    <t xml:space="preserve">Key packages</t>
  </si>
  <si>
    <t xml:space="preserve">Depends on</t>
  </si>
  <si>
    <t xml:space="preserve">Blocks</t>
  </si>
  <si>
    <t xml:space="preserve">Setup, conventions, migration ordering</t>
  </si>
  <si>
    <t xml:space="preserve">CLAUDE.md, config</t>
  </si>
  <si>
    <t xml:space="preserve">All teams</t>
  </si>
  <si>
    <t xml:space="preserve">Scope engine, budgets, approval gates</t>
  </si>
  <si>
    <t xml:space="preserve">pkg/tools/scope, executor</t>
  </si>
  <si>
    <t xml:space="preserve">Team 2 egress</t>
  </si>
  <si>
    <t xml:space="preserve">Container hardening, terminal, Azure IaC</t>
  </si>
  <si>
    <t xml:space="preserve">pkg/docker, pkg/tools/terminal, deploy</t>
  </si>
  <si>
    <t xml:space="preserve">Team 1 (scope)</t>
  </si>
  <si>
    <t xml:space="preserve">Team 7 docker tests</t>
  </si>
  <si>
    <t xml:space="preserve">Models, fallback, context, embeddings</t>
  </si>
  <si>
    <t xml:space="preserve">pkg/providers</t>
  </si>
  <si>
    <t xml:space="preserve">Team 4 (embeddings)</t>
  </si>
  <si>
    <t xml:space="preserve">Findings model, vector schema, graph</t>
  </si>
  <si>
    <t xml:space="preserve">migrations, sqlc, pkg/graphiti</t>
  </si>
  <si>
    <t xml:space="preserve">Teams 6,7</t>
  </si>
  <si>
    <t xml:space="preserve">SSO, tenancy, audit, authz tests</t>
  </si>
  <si>
    <t xml:space="preserve">pkg/server, pkg/graph</t>
  </si>
  <si>
    <t xml:space="preserve">Reports, proof, diffing, connectors</t>
  </si>
  <si>
    <t xml:space="preserve">reporter, pkg/integrations</t>
  </si>
  <si>
    <t xml:space="preserve">Team 4</t>
  </si>
  <si>
    <t xml:space="preserve">Eval harness, core tests, CI</t>
  </si>
  <si>
    <t xml:space="preserve">cmd/eval, .github/workflows</t>
  </si>
  <si>
    <t xml:space="preserve">Team 4 (ground truth)</t>
  </si>
  <si>
    <t xml:space="preserve">All (gates)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</si>
</sst>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EAD3"/>
      </patternFill>
    </fill>
    <fill>
      <patternFill patternType="solid">
        <fgColor rgb="FFD9EAD3"/>
        <bgColor rgb="FFD9E1F2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  <c r="D11" s="3" t="s">
        <v>9</v>
      </c>
    </row>
    <row r="12" customFormat="false" ht="15" hidden="false" customHeight="false" outlineLevel="0" collapsed="false">
      <c r="A12" s="5" t="s">
        <v>10</v>
      </c>
      <c r="B12" s="5" t="s">
        <v>11</v>
      </c>
      <c r="D12" s="5" t="s">
        <v>12</v>
      </c>
      <c r="E12" s="5" t="s">
        <v>11</v>
      </c>
      <c r="F12" s="5" t="s">
        <v>13</v>
      </c>
    </row>
    <row r="13" customFormat="false" ht="15" hidden="false" customHeight="false" outlineLevel="0" collapsed="false">
      <c r="A13" s="4" t="s">
        <v>14</v>
      </c>
      <c r="B13" s="4" t="n">
        <f aca="false">COUNTIF('Master Task List'!$M:$M,A13)</f>
        <v>55</v>
      </c>
      <c r="D13" s="4" t="s">
        <v>15</v>
      </c>
      <c r="E13" s="4" t="n">
        <f aca="false">COUNTIF('Master Task List'!$D:$D,D13)</f>
        <v>12</v>
      </c>
      <c r="F13" s="4" t="s">
        <v>16</v>
      </c>
    </row>
    <row r="14" customFormat="false" ht="15" hidden="false" customHeight="false" outlineLevel="0" collapsed="false">
      <c r="A14" s="4" t="s">
        <v>17</v>
      </c>
      <c r="B14" s="4" t="n">
        <f aca="false">COUNTIF('Master Task List'!$M:$M,A14)</f>
        <v>0</v>
      </c>
      <c r="D14" s="4" t="s">
        <v>18</v>
      </c>
      <c r="E14" s="4" t="n">
        <f aca="false">COUNTIF('Master Task List'!$D:$D,D14)</f>
        <v>29</v>
      </c>
      <c r="F14" s="4" t="s">
        <v>19</v>
      </c>
    </row>
    <row r="15" customFormat="false" ht="15" hidden="false" customHeight="false" outlineLevel="0" collapsed="false">
      <c r="A15" s="4" t="s">
        <v>20</v>
      </c>
      <c r="B15" s="4" t="n">
        <f aca="false">COUNTIF('Master Task List'!$M:$M,A15)</f>
        <v>0</v>
      </c>
      <c r="D15" s="4" t="s">
        <v>21</v>
      </c>
      <c r="E15" s="4" t="n">
        <f aca="false">COUNTIF('Master Task List'!$D:$D,D15)</f>
        <v>12</v>
      </c>
      <c r="F15" s="4" t="s">
        <v>22</v>
      </c>
    </row>
    <row r="16" customFormat="false" ht="15" hidden="false" customHeight="false" outlineLevel="0" collapsed="false">
      <c r="A16" s="4" t="s">
        <v>23</v>
      </c>
      <c r="B16" s="4" t="n">
        <f aca="false">COUNTIF('Master Task List'!$M:$M,A16)</f>
        <v>0</v>
      </c>
      <c r="D16" s="4" t="s">
        <v>24</v>
      </c>
      <c r="E16" s="4" t="n">
        <f aca="false">COUNTIF('Master Task List'!$D:$D,D16)</f>
        <v>3</v>
      </c>
      <c r="F16" s="4" t="s">
        <v>25</v>
      </c>
    </row>
    <row r="17" customFormat="false" ht="15" hidden="false" customHeight="false" outlineLevel="0" collapsed="false">
      <c r="A17" s="4" t="s">
        <v>26</v>
      </c>
      <c r="B17" s="4" t="n">
        <f aca="false">COUNTIF('Master Task List'!$M:$M,A17)</f>
        <v>1</v>
      </c>
    </row>
    <row r="18" customFormat="false" ht="15" hidden="false" customHeight="false" outlineLevel="0" collapsed="false">
      <c r="A18" s="3" t="s">
        <v>27</v>
      </c>
      <c r="B18" s="3" t="n">
        <f aca="false">COUNTA('Master Task List'!$A:$A)-1</f>
        <v>56</v>
      </c>
      <c r="D18" s="3" t="s">
        <v>28</v>
      </c>
      <c r="E18" s="6" t="n">
        <f aca="false">B17/B18</f>
        <v>0.0178571428571429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46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3" min="12" style="0" width="14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12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10</v>
      </c>
      <c r="N1" s="7" t="s">
        <v>40</v>
      </c>
    </row>
    <row r="2" customFormat="false" ht="23.85" hidden="false" customHeight="false" outlineLevel="0" collapsed="false">
      <c r="A2" s="8" t="s">
        <v>41</v>
      </c>
      <c r="B2" s="9" t="s">
        <v>42</v>
      </c>
      <c r="C2" s="8" t="s">
        <v>43</v>
      </c>
      <c r="D2" s="10" t="s">
        <v>24</v>
      </c>
      <c r="E2" s="11" t="s">
        <v>44</v>
      </c>
      <c r="F2" s="11" t="s">
        <v>45</v>
      </c>
      <c r="G2" s="11" t="s">
        <v>46</v>
      </c>
      <c r="H2" s="11" t="s">
        <v>47</v>
      </c>
      <c r="I2" s="11" t="s">
        <v>48</v>
      </c>
      <c r="J2" s="11"/>
      <c r="K2" s="8" t="s">
        <v>49</v>
      </c>
      <c r="L2" s="11"/>
      <c r="M2" s="8" t="s">
        <v>26</v>
      </c>
      <c r="N2" s="11"/>
    </row>
    <row r="3" customFormat="false" ht="23.85" hidden="false" customHeight="false" outlineLevel="0" collapsed="false">
      <c r="A3" s="8" t="s">
        <v>50</v>
      </c>
      <c r="B3" s="9" t="s">
        <v>42</v>
      </c>
      <c r="C3" s="8" t="s">
        <v>43</v>
      </c>
      <c r="D3" s="10" t="s">
        <v>24</v>
      </c>
      <c r="E3" s="11" t="s">
        <v>51</v>
      </c>
      <c r="F3" s="11" t="s">
        <v>52</v>
      </c>
      <c r="G3" s="11" t="s">
        <v>53</v>
      </c>
      <c r="H3" s="11" t="s">
        <v>54</v>
      </c>
      <c r="I3" s="11" t="s">
        <v>55</v>
      </c>
      <c r="J3" s="11"/>
      <c r="K3" s="8" t="s">
        <v>49</v>
      </c>
      <c r="L3" s="11"/>
      <c r="M3" s="8" t="s">
        <v>14</v>
      </c>
      <c r="N3" s="11"/>
    </row>
    <row r="4" customFormat="false" ht="23.85" hidden="false" customHeight="false" outlineLevel="0" collapsed="false">
      <c r="A4" s="8" t="s">
        <v>56</v>
      </c>
      <c r="B4" s="9" t="s">
        <v>42</v>
      </c>
      <c r="C4" s="8" t="s">
        <v>43</v>
      </c>
      <c r="D4" s="10" t="s">
        <v>24</v>
      </c>
      <c r="E4" s="11" t="s">
        <v>57</v>
      </c>
      <c r="F4" s="11" t="s">
        <v>58</v>
      </c>
      <c r="G4" s="11" t="s">
        <v>59</v>
      </c>
      <c r="H4" s="11" t="s">
        <v>60</v>
      </c>
      <c r="I4" s="11" t="s">
        <v>61</v>
      </c>
      <c r="J4" s="11"/>
      <c r="K4" s="8" t="s">
        <v>49</v>
      </c>
      <c r="L4" s="11"/>
      <c r="M4" s="8" t="s">
        <v>14</v>
      </c>
      <c r="N4" s="11"/>
    </row>
    <row r="5" customFormat="false" ht="35.05" hidden="false" customHeight="false" outlineLevel="0" collapsed="false">
      <c r="A5" s="8" t="s">
        <v>62</v>
      </c>
      <c r="B5" s="9" t="s">
        <v>63</v>
      </c>
      <c r="C5" s="8" t="s">
        <v>64</v>
      </c>
      <c r="D5" s="12" t="s">
        <v>15</v>
      </c>
      <c r="E5" s="11" t="s">
        <v>65</v>
      </c>
      <c r="F5" s="11" t="s">
        <v>66</v>
      </c>
      <c r="G5" s="11" t="s">
        <v>67</v>
      </c>
      <c r="H5" s="11" t="s">
        <v>68</v>
      </c>
      <c r="I5" s="11" t="s">
        <v>69</v>
      </c>
      <c r="J5" s="11"/>
      <c r="K5" s="8" t="s">
        <v>70</v>
      </c>
      <c r="L5" s="11"/>
      <c r="M5" s="8" t="s">
        <v>14</v>
      </c>
      <c r="N5" s="11"/>
    </row>
    <row r="6" customFormat="false" ht="35.05" hidden="false" customHeight="false" outlineLevel="0" collapsed="false">
      <c r="A6" s="8" t="s">
        <v>71</v>
      </c>
      <c r="B6" s="9" t="s">
        <v>63</v>
      </c>
      <c r="C6" s="8" t="s">
        <v>64</v>
      </c>
      <c r="D6" s="12" t="s">
        <v>15</v>
      </c>
      <c r="E6" s="11" t="s">
        <v>72</v>
      </c>
      <c r="F6" s="11" t="s">
        <v>73</v>
      </c>
      <c r="G6" s="11" t="s">
        <v>74</v>
      </c>
      <c r="H6" s="11" t="s">
        <v>75</v>
      </c>
      <c r="I6" s="11" t="s">
        <v>76</v>
      </c>
      <c r="J6" s="11" t="s">
        <v>62</v>
      </c>
      <c r="K6" s="8" t="s">
        <v>70</v>
      </c>
      <c r="L6" s="11"/>
      <c r="M6" s="8" t="s">
        <v>14</v>
      </c>
      <c r="N6" s="11"/>
    </row>
    <row r="7" customFormat="false" ht="23.85" hidden="false" customHeight="false" outlineLevel="0" collapsed="false">
      <c r="A7" s="8" t="s">
        <v>77</v>
      </c>
      <c r="B7" s="9" t="s">
        <v>63</v>
      </c>
      <c r="C7" s="8" t="s">
        <v>64</v>
      </c>
      <c r="D7" s="12" t="s">
        <v>15</v>
      </c>
      <c r="E7" s="11" t="s">
        <v>78</v>
      </c>
      <c r="F7" s="11" t="s">
        <v>79</v>
      </c>
      <c r="G7" s="11" t="s">
        <v>80</v>
      </c>
      <c r="H7" s="11" t="s">
        <v>81</v>
      </c>
      <c r="I7" s="11" t="s">
        <v>82</v>
      </c>
      <c r="J7" s="11"/>
      <c r="K7" s="8" t="s">
        <v>70</v>
      </c>
      <c r="L7" s="11"/>
      <c r="M7" s="8" t="s">
        <v>14</v>
      </c>
      <c r="N7" s="11"/>
    </row>
    <row r="8" customFormat="false" ht="23.85" hidden="false" customHeight="false" outlineLevel="0" collapsed="false">
      <c r="A8" s="8" t="s">
        <v>83</v>
      </c>
      <c r="B8" s="9" t="s">
        <v>63</v>
      </c>
      <c r="C8" s="8" t="s">
        <v>84</v>
      </c>
      <c r="D8" s="13" t="s">
        <v>18</v>
      </c>
      <c r="E8" s="11" t="s">
        <v>85</v>
      </c>
      <c r="F8" s="11" t="s">
        <v>86</v>
      </c>
      <c r="G8" s="11" t="s">
        <v>87</v>
      </c>
      <c r="H8" s="11" t="s">
        <v>88</v>
      </c>
      <c r="I8" s="11" t="s">
        <v>89</v>
      </c>
      <c r="J8" s="11" t="s">
        <v>71</v>
      </c>
      <c r="K8" s="8" t="s">
        <v>70</v>
      </c>
      <c r="L8" s="11"/>
      <c r="M8" s="8" t="s">
        <v>14</v>
      </c>
      <c r="N8" s="11"/>
    </row>
    <row r="9" customFormat="false" ht="23.85" hidden="false" customHeight="false" outlineLevel="0" collapsed="false">
      <c r="A9" s="8" t="s">
        <v>90</v>
      </c>
      <c r="B9" s="9" t="s">
        <v>63</v>
      </c>
      <c r="C9" s="8" t="s">
        <v>64</v>
      </c>
      <c r="D9" s="12" t="s">
        <v>15</v>
      </c>
      <c r="E9" s="11" t="s">
        <v>91</v>
      </c>
      <c r="F9" s="11" t="s">
        <v>92</v>
      </c>
      <c r="G9" s="11" t="s">
        <v>93</v>
      </c>
      <c r="H9" s="11" t="s">
        <v>94</v>
      </c>
      <c r="I9" s="11" t="s">
        <v>95</v>
      </c>
      <c r="J9" s="11" t="s">
        <v>96</v>
      </c>
      <c r="K9" s="8" t="s">
        <v>70</v>
      </c>
      <c r="L9" s="11"/>
      <c r="M9" s="8" t="s">
        <v>14</v>
      </c>
      <c r="N9" s="11"/>
    </row>
    <row r="10" customFormat="false" ht="35.05" hidden="false" customHeight="false" outlineLevel="0" collapsed="false">
      <c r="A10" s="8" t="s">
        <v>97</v>
      </c>
      <c r="B10" s="9" t="s">
        <v>63</v>
      </c>
      <c r="C10" s="8" t="s">
        <v>64</v>
      </c>
      <c r="D10" s="12" t="s">
        <v>15</v>
      </c>
      <c r="E10" s="11" t="s">
        <v>98</v>
      </c>
      <c r="F10" s="11" t="s">
        <v>99</v>
      </c>
      <c r="G10" s="11" t="s">
        <v>53</v>
      </c>
      <c r="H10" s="11" t="s">
        <v>100</v>
      </c>
      <c r="I10" s="11" t="s">
        <v>101</v>
      </c>
      <c r="J10" s="11" t="s">
        <v>71</v>
      </c>
      <c r="K10" s="8" t="s">
        <v>49</v>
      </c>
      <c r="L10" s="11"/>
      <c r="M10" s="8" t="s">
        <v>14</v>
      </c>
      <c r="N10" s="11"/>
    </row>
    <row r="11" customFormat="false" ht="23.85" hidden="false" customHeight="false" outlineLevel="0" collapsed="false">
      <c r="A11" s="8" t="s">
        <v>102</v>
      </c>
      <c r="B11" s="9" t="s">
        <v>103</v>
      </c>
      <c r="C11" s="8" t="s">
        <v>64</v>
      </c>
      <c r="D11" s="12" t="s">
        <v>15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/>
      <c r="K11" s="8" t="s">
        <v>70</v>
      </c>
      <c r="L11" s="11"/>
      <c r="M11" s="8" t="s">
        <v>14</v>
      </c>
      <c r="N11" s="11"/>
    </row>
    <row r="12" customFormat="false" ht="23.85" hidden="false" customHeight="false" outlineLevel="0" collapsed="false">
      <c r="A12" s="8" t="s">
        <v>109</v>
      </c>
      <c r="B12" s="9" t="s">
        <v>103</v>
      </c>
      <c r="C12" s="8" t="s">
        <v>64</v>
      </c>
      <c r="D12" s="12" t="s">
        <v>15</v>
      </c>
      <c r="E12" s="11" t="s">
        <v>110</v>
      </c>
      <c r="F12" s="11" t="s">
        <v>111</v>
      </c>
      <c r="G12" s="11" t="s">
        <v>112</v>
      </c>
      <c r="H12" s="11" t="s">
        <v>113</v>
      </c>
      <c r="I12" s="11" t="s">
        <v>114</v>
      </c>
      <c r="J12" s="11"/>
      <c r="K12" s="8" t="s">
        <v>49</v>
      </c>
      <c r="L12" s="11"/>
      <c r="M12" s="8" t="s">
        <v>14</v>
      </c>
      <c r="N12" s="11"/>
    </row>
    <row r="13" customFormat="false" ht="23.85" hidden="false" customHeight="false" outlineLevel="0" collapsed="false">
      <c r="A13" s="8" t="s">
        <v>115</v>
      </c>
      <c r="B13" s="9" t="s">
        <v>103</v>
      </c>
      <c r="C13" s="8" t="s">
        <v>64</v>
      </c>
      <c r="D13" s="12" t="s">
        <v>15</v>
      </c>
      <c r="E13" s="11" t="s">
        <v>116</v>
      </c>
      <c r="F13" s="11" t="s">
        <v>117</v>
      </c>
      <c r="G13" s="11" t="s">
        <v>106</v>
      </c>
      <c r="H13" s="11" t="s">
        <v>118</v>
      </c>
      <c r="I13" s="11" t="s">
        <v>119</v>
      </c>
      <c r="J13" s="11"/>
      <c r="K13" s="8" t="s">
        <v>70</v>
      </c>
      <c r="L13" s="11"/>
      <c r="M13" s="8" t="s">
        <v>14</v>
      </c>
      <c r="N13" s="11"/>
    </row>
    <row r="14" customFormat="false" ht="23.85" hidden="false" customHeight="false" outlineLevel="0" collapsed="false">
      <c r="A14" s="8" t="s">
        <v>120</v>
      </c>
      <c r="B14" s="9" t="s">
        <v>103</v>
      </c>
      <c r="C14" s="8" t="s">
        <v>121</v>
      </c>
      <c r="D14" s="13" t="s">
        <v>18</v>
      </c>
      <c r="E14" s="11" t="s">
        <v>122</v>
      </c>
      <c r="F14" s="11" t="s">
        <v>123</v>
      </c>
      <c r="G14" s="11" t="s">
        <v>124</v>
      </c>
      <c r="H14" s="11" t="s">
        <v>125</v>
      </c>
      <c r="I14" s="11" t="s">
        <v>126</v>
      </c>
      <c r="J14" s="11"/>
      <c r="K14" s="8" t="s">
        <v>49</v>
      </c>
      <c r="L14" s="11"/>
      <c r="M14" s="8" t="s">
        <v>14</v>
      </c>
      <c r="N14" s="11"/>
    </row>
    <row r="15" customFormat="false" ht="23.85" hidden="false" customHeight="false" outlineLevel="0" collapsed="false">
      <c r="A15" s="8" t="s">
        <v>127</v>
      </c>
      <c r="B15" s="9" t="s">
        <v>103</v>
      </c>
      <c r="C15" s="8" t="s">
        <v>121</v>
      </c>
      <c r="D15" s="13" t="s">
        <v>18</v>
      </c>
      <c r="E15" s="11" t="s">
        <v>128</v>
      </c>
      <c r="F15" s="11" t="s">
        <v>129</v>
      </c>
      <c r="G15" s="11" t="s">
        <v>124</v>
      </c>
      <c r="H15" s="11" t="s">
        <v>130</v>
      </c>
      <c r="I15" s="11" t="s">
        <v>131</v>
      </c>
      <c r="J15" s="11"/>
      <c r="K15" s="8" t="s">
        <v>70</v>
      </c>
      <c r="L15" s="11"/>
      <c r="M15" s="8" t="s">
        <v>14</v>
      </c>
      <c r="N15" s="11"/>
    </row>
    <row r="16" customFormat="false" ht="23.85" hidden="false" customHeight="false" outlineLevel="0" collapsed="false">
      <c r="A16" s="8" t="s">
        <v>132</v>
      </c>
      <c r="B16" s="9" t="s">
        <v>103</v>
      </c>
      <c r="C16" s="8" t="s">
        <v>121</v>
      </c>
      <c r="D16" s="13" t="s">
        <v>18</v>
      </c>
      <c r="E16" s="11" t="s">
        <v>133</v>
      </c>
      <c r="F16" s="11" t="s">
        <v>134</v>
      </c>
      <c r="G16" s="11" t="s">
        <v>124</v>
      </c>
      <c r="H16" s="11" t="s">
        <v>135</v>
      </c>
      <c r="I16" s="11" t="s">
        <v>136</v>
      </c>
      <c r="J16" s="11"/>
      <c r="K16" s="8" t="s">
        <v>49</v>
      </c>
      <c r="L16" s="11"/>
      <c r="M16" s="8" t="s">
        <v>14</v>
      </c>
      <c r="N16" s="11"/>
    </row>
    <row r="17" customFormat="false" ht="35.05" hidden="false" customHeight="false" outlineLevel="0" collapsed="false">
      <c r="A17" s="8" t="s">
        <v>137</v>
      </c>
      <c r="B17" s="9" t="s">
        <v>103</v>
      </c>
      <c r="C17" s="8" t="s">
        <v>43</v>
      </c>
      <c r="D17" s="13" t="s">
        <v>18</v>
      </c>
      <c r="E17" s="11" t="s">
        <v>138</v>
      </c>
      <c r="F17" s="11" t="s">
        <v>139</v>
      </c>
      <c r="G17" s="11" t="s">
        <v>140</v>
      </c>
      <c r="H17" s="11" t="s">
        <v>141</v>
      </c>
      <c r="I17" s="11" t="s">
        <v>142</v>
      </c>
      <c r="J17" s="11"/>
      <c r="K17" s="8" t="s">
        <v>143</v>
      </c>
      <c r="L17" s="11"/>
      <c r="M17" s="8" t="s">
        <v>14</v>
      </c>
      <c r="N17" s="11"/>
    </row>
    <row r="18" customFormat="false" ht="23.85" hidden="false" customHeight="false" outlineLevel="0" collapsed="false">
      <c r="A18" s="8" t="s">
        <v>144</v>
      </c>
      <c r="B18" s="9" t="s">
        <v>103</v>
      </c>
      <c r="C18" s="8" t="s">
        <v>84</v>
      </c>
      <c r="D18" s="13" t="s">
        <v>18</v>
      </c>
      <c r="E18" s="11" t="s">
        <v>145</v>
      </c>
      <c r="F18" s="11" t="s">
        <v>146</v>
      </c>
      <c r="G18" s="11" t="s">
        <v>147</v>
      </c>
      <c r="H18" s="11" t="s">
        <v>148</v>
      </c>
      <c r="I18" s="11" t="s">
        <v>149</v>
      </c>
      <c r="J18" s="11" t="s">
        <v>137</v>
      </c>
      <c r="K18" s="8" t="s">
        <v>143</v>
      </c>
      <c r="L18" s="11"/>
      <c r="M18" s="8" t="s">
        <v>14</v>
      </c>
      <c r="N18" s="11"/>
    </row>
    <row r="19" customFormat="false" ht="23.85" hidden="false" customHeight="false" outlineLevel="0" collapsed="false">
      <c r="A19" s="8" t="s">
        <v>150</v>
      </c>
      <c r="B19" s="9" t="s">
        <v>103</v>
      </c>
      <c r="C19" s="8" t="s">
        <v>64</v>
      </c>
      <c r="D19" s="12" t="s">
        <v>15</v>
      </c>
      <c r="E19" s="11" t="s">
        <v>151</v>
      </c>
      <c r="F19" s="11" t="s">
        <v>152</v>
      </c>
      <c r="G19" s="11" t="s">
        <v>153</v>
      </c>
      <c r="H19" s="11" t="s">
        <v>154</v>
      </c>
      <c r="I19" s="11" t="s">
        <v>155</v>
      </c>
      <c r="J19" s="11" t="s">
        <v>156</v>
      </c>
      <c r="K19" s="8" t="s">
        <v>143</v>
      </c>
      <c r="L19" s="11"/>
      <c r="M19" s="8" t="s">
        <v>14</v>
      </c>
      <c r="N19" s="11"/>
    </row>
    <row r="20" customFormat="false" ht="23.85" hidden="false" customHeight="false" outlineLevel="0" collapsed="false">
      <c r="A20" s="8" t="s">
        <v>157</v>
      </c>
      <c r="B20" s="9" t="s">
        <v>103</v>
      </c>
      <c r="C20" s="8" t="s">
        <v>158</v>
      </c>
      <c r="D20" s="14" t="s">
        <v>21</v>
      </c>
      <c r="E20" s="11" t="s">
        <v>159</v>
      </c>
      <c r="F20" s="11" t="s">
        <v>160</v>
      </c>
      <c r="G20" s="11" t="s">
        <v>53</v>
      </c>
      <c r="H20" s="11" t="s">
        <v>161</v>
      </c>
      <c r="I20" s="11" t="s">
        <v>162</v>
      </c>
      <c r="J20" s="11" t="s">
        <v>144</v>
      </c>
      <c r="K20" s="8" t="s">
        <v>49</v>
      </c>
      <c r="L20" s="11"/>
      <c r="M20" s="8" t="s">
        <v>14</v>
      </c>
      <c r="N20" s="11"/>
    </row>
    <row r="21" customFormat="false" ht="23.85" hidden="false" customHeight="false" outlineLevel="0" collapsed="false">
      <c r="A21" s="8" t="s">
        <v>163</v>
      </c>
      <c r="B21" s="9" t="s">
        <v>164</v>
      </c>
      <c r="C21" s="8" t="s">
        <v>121</v>
      </c>
      <c r="D21" s="13" t="s">
        <v>18</v>
      </c>
      <c r="E21" s="11" t="s">
        <v>165</v>
      </c>
      <c r="F21" s="11" t="s">
        <v>166</v>
      </c>
      <c r="G21" s="11" t="s">
        <v>167</v>
      </c>
      <c r="H21" s="11" t="s">
        <v>168</v>
      </c>
      <c r="I21" s="11" t="s">
        <v>169</v>
      </c>
      <c r="J21" s="11"/>
      <c r="K21" s="8" t="s">
        <v>70</v>
      </c>
      <c r="L21" s="11"/>
      <c r="M21" s="8" t="s">
        <v>14</v>
      </c>
      <c r="N21" s="11"/>
    </row>
    <row r="22" customFormat="false" ht="23.85" hidden="false" customHeight="false" outlineLevel="0" collapsed="false">
      <c r="A22" s="8" t="s">
        <v>170</v>
      </c>
      <c r="B22" s="9" t="s">
        <v>164</v>
      </c>
      <c r="C22" s="8" t="s">
        <v>121</v>
      </c>
      <c r="D22" s="13" t="s">
        <v>18</v>
      </c>
      <c r="E22" s="11" t="s">
        <v>171</v>
      </c>
      <c r="F22" s="11" t="s">
        <v>172</v>
      </c>
      <c r="G22" s="11" t="s">
        <v>173</v>
      </c>
      <c r="H22" s="11" t="s">
        <v>174</v>
      </c>
      <c r="I22" s="11" t="s">
        <v>175</v>
      </c>
      <c r="J22" s="11" t="s">
        <v>163</v>
      </c>
      <c r="K22" s="8" t="s">
        <v>49</v>
      </c>
      <c r="L22" s="11"/>
      <c r="M22" s="8" t="s">
        <v>14</v>
      </c>
      <c r="N22" s="11"/>
    </row>
    <row r="23" customFormat="false" ht="23.85" hidden="false" customHeight="false" outlineLevel="0" collapsed="false">
      <c r="A23" s="8" t="s">
        <v>176</v>
      </c>
      <c r="B23" s="9" t="s">
        <v>164</v>
      </c>
      <c r="C23" s="8" t="s">
        <v>121</v>
      </c>
      <c r="D23" s="13" t="s">
        <v>18</v>
      </c>
      <c r="E23" s="11" t="s">
        <v>177</v>
      </c>
      <c r="F23" s="11" t="s">
        <v>178</v>
      </c>
      <c r="G23" s="11" t="s">
        <v>179</v>
      </c>
      <c r="H23" s="11" t="s">
        <v>180</v>
      </c>
      <c r="I23" s="11" t="s">
        <v>181</v>
      </c>
      <c r="J23" s="11" t="s">
        <v>163</v>
      </c>
      <c r="K23" s="8" t="s">
        <v>49</v>
      </c>
      <c r="L23" s="11"/>
      <c r="M23" s="8" t="s">
        <v>14</v>
      </c>
      <c r="N23" s="11"/>
    </row>
    <row r="24" customFormat="false" ht="35.05" hidden="false" customHeight="false" outlineLevel="0" collapsed="false">
      <c r="A24" s="8" t="s">
        <v>182</v>
      </c>
      <c r="B24" s="9" t="s">
        <v>164</v>
      </c>
      <c r="C24" s="8" t="s">
        <v>121</v>
      </c>
      <c r="D24" s="13" t="s">
        <v>18</v>
      </c>
      <c r="E24" s="11" t="s">
        <v>183</v>
      </c>
      <c r="F24" s="11" t="s">
        <v>184</v>
      </c>
      <c r="G24" s="11" t="s">
        <v>185</v>
      </c>
      <c r="H24" s="11" t="s">
        <v>186</v>
      </c>
      <c r="I24" s="11" t="s">
        <v>187</v>
      </c>
      <c r="J24" s="11"/>
      <c r="K24" s="8" t="s">
        <v>70</v>
      </c>
      <c r="L24" s="11"/>
      <c r="M24" s="8" t="s">
        <v>14</v>
      </c>
      <c r="N24" s="11"/>
    </row>
    <row r="25" customFormat="false" ht="23.85" hidden="false" customHeight="false" outlineLevel="0" collapsed="false">
      <c r="A25" s="8" t="s">
        <v>188</v>
      </c>
      <c r="B25" s="9" t="s">
        <v>164</v>
      </c>
      <c r="C25" s="8" t="s">
        <v>121</v>
      </c>
      <c r="D25" s="13" t="s">
        <v>18</v>
      </c>
      <c r="E25" s="11" t="s">
        <v>189</v>
      </c>
      <c r="F25" s="11" t="s">
        <v>190</v>
      </c>
      <c r="G25" s="11" t="s">
        <v>191</v>
      </c>
      <c r="H25" s="11" t="s">
        <v>192</v>
      </c>
      <c r="I25" s="11" t="s">
        <v>193</v>
      </c>
      <c r="J25" s="11"/>
      <c r="K25" s="8" t="s">
        <v>143</v>
      </c>
      <c r="L25" s="11"/>
      <c r="M25" s="8" t="s">
        <v>14</v>
      </c>
      <c r="N25" s="11"/>
    </row>
    <row r="26" customFormat="false" ht="23.85" hidden="false" customHeight="false" outlineLevel="0" collapsed="false">
      <c r="A26" s="8" t="s">
        <v>194</v>
      </c>
      <c r="B26" s="9" t="s">
        <v>164</v>
      </c>
      <c r="C26" s="8" t="s">
        <v>121</v>
      </c>
      <c r="D26" s="13" t="s">
        <v>18</v>
      </c>
      <c r="E26" s="11" t="s">
        <v>195</v>
      </c>
      <c r="F26" s="11" t="s">
        <v>196</v>
      </c>
      <c r="G26" s="11" t="s">
        <v>197</v>
      </c>
      <c r="H26" s="11" t="s">
        <v>198</v>
      </c>
      <c r="I26" s="11" t="s">
        <v>199</v>
      </c>
      <c r="J26" s="11"/>
      <c r="K26" s="8" t="s">
        <v>70</v>
      </c>
      <c r="L26" s="11"/>
      <c r="M26" s="8" t="s">
        <v>14</v>
      </c>
      <c r="N26" s="11"/>
    </row>
    <row r="27" customFormat="false" ht="23.85" hidden="false" customHeight="false" outlineLevel="0" collapsed="false">
      <c r="A27" s="8" t="s">
        <v>200</v>
      </c>
      <c r="B27" s="9" t="s">
        <v>164</v>
      </c>
      <c r="C27" s="8" t="s">
        <v>121</v>
      </c>
      <c r="D27" s="13" t="s">
        <v>18</v>
      </c>
      <c r="E27" s="11" t="s">
        <v>201</v>
      </c>
      <c r="F27" s="11" t="s">
        <v>202</v>
      </c>
      <c r="G27" s="11" t="s">
        <v>203</v>
      </c>
      <c r="H27" s="11" t="s">
        <v>204</v>
      </c>
      <c r="I27" s="11" t="s">
        <v>205</v>
      </c>
      <c r="J27" s="11"/>
      <c r="K27" s="8" t="s">
        <v>70</v>
      </c>
      <c r="L27" s="11"/>
      <c r="M27" s="8" t="s">
        <v>14</v>
      </c>
      <c r="N27" s="11"/>
    </row>
    <row r="28" customFormat="false" ht="23.85" hidden="false" customHeight="false" outlineLevel="0" collapsed="false">
      <c r="A28" s="8" t="s">
        <v>206</v>
      </c>
      <c r="B28" s="9" t="s">
        <v>164</v>
      </c>
      <c r="C28" s="8" t="s">
        <v>207</v>
      </c>
      <c r="D28" s="14" t="s">
        <v>21</v>
      </c>
      <c r="E28" s="11" t="s">
        <v>208</v>
      </c>
      <c r="F28" s="11" t="s">
        <v>209</v>
      </c>
      <c r="G28" s="11" t="s">
        <v>210</v>
      </c>
      <c r="H28" s="11" t="s">
        <v>211</v>
      </c>
      <c r="I28" s="11" t="s">
        <v>212</v>
      </c>
      <c r="J28" s="11" t="s">
        <v>163</v>
      </c>
      <c r="K28" s="8" t="s">
        <v>49</v>
      </c>
      <c r="L28" s="11"/>
      <c r="M28" s="8" t="s">
        <v>14</v>
      </c>
      <c r="N28" s="11"/>
    </row>
    <row r="29" customFormat="false" ht="23.85" hidden="false" customHeight="false" outlineLevel="0" collapsed="false">
      <c r="A29" s="8" t="s">
        <v>213</v>
      </c>
      <c r="B29" s="9" t="s">
        <v>214</v>
      </c>
      <c r="C29" s="8" t="s">
        <v>43</v>
      </c>
      <c r="D29" s="12" t="s">
        <v>15</v>
      </c>
      <c r="E29" s="11" t="s">
        <v>215</v>
      </c>
      <c r="F29" s="11" t="s">
        <v>216</v>
      </c>
      <c r="G29" s="11" t="s">
        <v>217</v>
      </c>
      <c r="H29" s="11" t="s">
        <v>218</v>
      </c>
      <c r="I29" s="11" t="s">
        <v>219</v>
      </c>
      <c r="J29" s="11" t="s">
        <v>50</v>
      </c>
      <c r="K29" s="8" t="s">
        <v>143</v>
      </c>
      <c r="L29" s="11"/>
      <c r="M29" s="8" t="s">
        <v>14</v>
      </c>
      <c r="N29" s="11"/>
    </row>
    <row r="30" customFormat="false" ht="23.85" hidden="false" customHeight="false" outlineLevel="0" collapsed="false">
      <c r="A30" s="8" t="s">
        <v>220</v>
      </c>
      <c r="B30" s="9" t="s">
        <v>214</v>
      </c>
      <c r="C30" s="8" t="s">
        <v>121</v>
      </c>
      <c r="D30" s="13" t="s">
        <v>18</v>
      </c>
      <c r="E30" s="11" t="s">
        <v>221</v>
      </c>
      <c r="F30" s="11" t="s">
        <v>222</v>
      </c>
      <c r="G30" s="11" t="s">
        <v>223</v>
      </c>
      <c r="H30" s="11" t="s">
        <v>224</v>
      </c>
      <c r="I30" s="11" t="s">
        <v>225</v>
      </c>
      <c r="J30" s="11" t="s">
        <v>213</v>
      </c>
      <c r="K30" s="8" t="s">
        <v>70</v>
      </c>
      <c r="L30" s="11"/>
      <c r="M30" s="8" t="s">
        <v>14</v>
      </c>
      <c r="N30" s="11"/>
    </row>
    <row r="31" customFormat="false" ht="23.85" hidden="false" customHeight="false" outlineLevel="0" collapsed="false">
      <c r="A31" s="8" t="s">
        <v>226</v>
      </c>
      <c r="B31" s="9" t="s">
        <v>214</v>
      </c>
      <c r="C31" s="8" t="s">
        <v>207</v>
      </c>
      <c r="D31" s="13" t="s">
        <v>18</v>
      </c>
      <c r="E31" s="11" t="s">
        <v>227</v>
      </c>
      <c r="F31" s="11" t="s">
        <v>228</v>
      </c>
      <c r="G31" s="11" t="s">
        <v>229</v>
      </c>
      <c r="H31" s="11" t="s">
        <v>230</v>
      </c>
      <c r="I31" s="11" t="s">
        <v>231</v>
      </c>
      <c r="J31" s="11"/>
      <c r="K31" s="8" t="s">
        <v>70</v>
      </c>
      <c r="L31" s="11"/>
      <c r="M31" s="8" t="s">
        <v>14</v>
      </c>
      <c r="N31" s="11"/>
    </row>
    <row r="32" customFormat="false" ht="23.85" hidden="false" customHeight="false" outlineLevel="0" collapsed="false">
      <c r="A32" s="8" t="s">
        <v>232</v>
      </c>
      <c r="B32" s="9" t="s">
        <v>214</v>
      </c>
      <c r="C32" s="8" t="s">
        <v>207</v>
      </c>
      <c r="D32" s="13" t="s">
        <v>18</v>
      </c>
      <c r="E32" s="11" t="s">
        <v>233</v>
      </c>
      <c r="F32" s="11" t="s">
        <v>234</v>
      </c>
      <c r="G32" s="11" t="s">
        <v>235</v>
      </c>
      <c r="H32" s="11" t="s">
        <v>236</v>
      </c>
      <c r="I32" s="11" t="s">
        <v>237</v>
      </c>
      <c r="J32" s="11"/>
      <c r="K32" s="8" t="s">
        <v>70</v>
      </c>
      <c r="L32" s="11"/>
      <c r="M32" s="8" t="s">
        <v>14</v>
      </c>
      <c r="N32" s="11"/>
    </row>
    <row r="33" customFormat="false" ht="23.85" hidden="false" customHeight="false" outlineLevel="0" collapsed="false">
      <c r="A33" s="8" t="s">
        <v>238</v>
      </c>
      <c r="B33" s="9" t="s">
        <v>214</v>
      </c>
      <c r="C33" s="8" t="s">
        <v>84</v>
      </c>
      <c r="D33" s="14" t="s">
        <v>21</v>
      </c>
      <c r="E33" s="11" t="s">
        <v>239</v>
      </c>
      <c r="F33" s="11" t="s">
        <v>240</v>
      </c>
      <c r="G33" s="11" t="s">
        <v>241</v>
      </c>
      <c r="H33" s="11" t="s">
        <v>242</v>
      </c>
      <c r="I33" s="11" t="s">
        <v>243</v>
      </c>
      <c r="J33" s="11" t="s">
        <v>213</v>
      </c>
      <c r="K33" s="8" t="s">
        <v>143</v>
      </c>
      <c r="L33" s="11"/>
      <c r="M33" s="8" t="s">
        <v>14</v>
      </c>
      <c r="N33" s="11"/>
    </row>
    <row r="34" customFormat="false" ht="23.85" hidden="false" customHeight="false" outlineLevel="0" collapsed="false">
      <c r="A34" s="8" t="s">
        <v>244</v>
      </c>
      <c r="B34" s="9" t="s">
        <v>214</v>
      </c>
      <c r="C34" s="8" t="s">
        <v>207</v>
      </c>
      <c r="D34" s="14" t="s">
        <v>21</v>
      </c>
      <c r="E34" s="11" t="s">
        <v>245</v>
      </c>
      <c r="F34" s="11" t="s">
        <v>246</v>
      </c>
      <c r="G34" s="11" t="s">
        <v>229</v>
      </c>
      <c r="H34" s="11" t="s">
        <v>247</v>
      </c>
      <c r="I34" s="11" t="s">
        <v>248</v>
      </c>
      <c r="J34" s="11"/>
      <c r="K34" s="8" t="s">
        <v>70</v>
      </c>
      <c r="L34" s="11"/>
      <c r="M34" s="8" t="s">
        <v>14</v>
      </c>
      <c r="N34" s="11"/>
    </row>
    <row r="35" customFormat="false" ht="23.85" hidden="false" customHeight="false" outlineLevel="0" collapsed="false">
      <c r="A35" s="8" t="s">
        <v>249</v>
      </c>
      <c r="B35" s="9" t="s">
        <v>214</v>
      </c>
      <c r="C35" s="8" t="s">
        <v>121</v>
      </c>
      <c r="D35" s="13" t="s">
        <v>18</v>
      </c>
      <c r="E35" s="11" t="s">
        <v>250</v>
      </c>
      <c r="F35" s="11" t="s">
        <v>251</v>
      </c>
      <c r="G35" s="11" t="s">
        <v>252</v>
      </c>
      <c r="H35" s="11" t="s">
        <v>253</v>
      </c>
      <c r="I35" s="11" t="s">
        <v>254</v>
      </c>
      <c r="J35" s="11" t="s">
        <v>255</v>
      </c>
      <c r="K35" s="8" t="s">
        <v>70</v>
      </c>
      <c r="L35" s="11"/>
      <c r="M35" s="8" t="s">
        <v>14</v>
      </c>
      <c r="N35" s="11"/>
    </row>
    <row r="36" customFormat="false" ht="23.85" hidden="false" customHeight="false" outlineLevel="0" collapsed="false">
      <c r="A36" s="8" t="s">
        <v>256</v>
      </c>
      <c r="B36" s="9" t="s">
        <v>214</v>
      </c>
      <c r="C36" s="8" t="s">
        <v>43</v>
      </c>
      <c r="D36" s="13" t="s">
        <v>18</v>
      </c>
      <c r="E36" s="11" t="s">
        <v>257</v>
      </c>
      <c r="F36" s="11" t="s">
        <v>258</v>
      </c>
      <c r="G36" s="11" t="s">
        <v>53</v>
      </c>
      <c r="H36" s="11" t="s">
        <v>259</v>
      </c>
      <c r="I36" s="11" t="s">
        <v>260</v>
      </c>
      <c r="J36" s="11"/>
      <c r="K36" s="8" t="s">
        <v>49</v>
      </c>
      <c r="L36" s="11"/>
      <c r="M36" s="8" t="s">
        <v>14</v>
      </c>
      <c r="N36" s="11"/>
    </row>
    <row r="37" customFormat="false" ht="23.85" hidden="false" customHeight="false" outlineLevel="0" collapsed="false">
      <c r="A37" s="8" t="s">
        <v>261</v>
      </c>
      <c r="B37" s="9" t="s">
        <v>262</v>
      </c>
      <c r="C37" s="8" t="s">
        <v>43</v>
      </c>
      <c r="D37" s="12" t="s">
        <v>15</v>
      </c>
      <c r="E37" s="11" t="s">
        <v>263</v>
      </c>
      <c r="F37" s="11" t="s">
        <v>264</v>
      </c>
      <c r="G37" s="11" t="s">
        <v>265</v>
      </c>
      <c r="H37" s="11" t="s">
        <v>266</v>
      </c>
      <c r="I37" s="11" t="s">
        <v>267</v>
      </c>
      <c r="J37" s="11"/>
      <c r="K37" s="8" t="s">
        <v>70</v>
      </c>
      <c r="L37" s="11"/>
      <c r="M37" s="8" t="s">
        <v>14</v>
      </c>
      <c r="N37" s="11"/>
    </row>
    <row r="38" customFormat="false" ht="23.85" hidden="false" customHeight="false" outlineLevel="0" collapsed="false">
      <c r="A38" s="8" t="s">
        <v>268</v>
      </c>
      <c r="B38" s="9" t="s">
        <v>262</v>
      </c>
      <c r="C38" s="8" t="s">
        <v>84</v>
      </c>
      <c r="D38" s="13" t="s">
        <v>18</v>
      </c>
      <c r="E38" s="11" t="s">
        <v>269</v>
      </c>
      <c r="F38" s="11" t="s">
        <v>270</v>
      </c>
      <c r="G38" s="11" t="s">
        <v>271</v>
      </c>
      <c r="H38" s="11" t="s">
        <v>272</v>
      </c>
      <c r="I38" s="11" t="s">
        <v>273</v>
      </c>
      <c r="J38" s="11" t="s">
        <v>261</v>
      </c>
      <c r="K38" s="8" t="s">
        <v>70</v>
      </c>
      <c r="L38" s="11"/>
      <c r="M38" s="8" t="s">
        <v>14</v>
      </c>
      <c r="N38" s="11"/>
    </row>
    <row r="39" customFormat="false" ht="23.85" hidden="false" customHeight="false" outlineLevel="0" collapsed="false">
      <c r="A39" s="8" t="s">
        <v>274</v>
      </c>
      <c r="B39" s="9" t="s">
        <v>262</v>
      </c>
      <c r="C39" s="8" t="s">
        <v>84</v>
      </c>
      <c r="D39" s="14" t="s">
        <v>21</v>
      </c>
      <c r="E39" s="11" t="s">
        <v>275</v>
      </c>
      <c r="F39" s="11" t="s">
        <v>276</v>
      </c>
      <c r="G39" s="11" t="s">
        <v>277</v>
      </c>
      <c r="H39" s="11" t="s">
        <v>278</v>
      </c>
      <c r="I39" s="11" t="s">
        <v>279</v>
      </c>
      <c r="J39" s="11" t="s">
        <v>268</v>
      </c>
      <c r="K39" s="8" t="s">
        <v>49</v>
      </c>
      <c r="L39" s="11"/>
      <c r="M39" s="8" t="s">
        <v>14</v>
      </c>
      <c r="N39" s="11"/>
    </row>
    <row r="40" customFormat="false" ht="23.85" hidden="false" customHeight="false" outlineLevel="0" collapsed="false">
      <c r="A40" s="8" t="s">
        <v>280</v>
      </c>
      <c r="B40" s="9" t="s">
        <v>262</v>
      </c>
      <c r="C40" s="8" t="s">
        <v>84</v>
      </c>
      <c r="D40" s="13" t="s">
        <v>18</v>
      </c>
      <c r="E40" s="11" t="s">
        <v>281</v>
      </c>
      <c r="F40" s="11" t="s">
        <v>282</v>
      </c>
      <c r="G40" s="11" t="s">
        <v>283</v>
      </c>
      <c r="H40" s="11" t="s">
        <v>284</v>
      </c>
      <c r="I40" s="11" t="s">
        <v>285</v>
      </c>
      <c r="J40" s="11" t="s">
        <v>286</v>
      </c>
      <c r="K40" s="8" t="s">
        <v>143</v>
      </c>
      <c r="L40" s="11"/>
      <c r="M40" s="8" t="s">
        <v>14</v>
      </c>
      <c r="N40" s="11"/>
    </row>
    <row r="41" customFormat="false" ht="23.85" hidden="false" customHeight="false" outlineLevel="0" collapsed="false">
      <c r="A41" s="8" t="s">
        <v>287</v>
      </c>
      <c r="B41" s="9" t="s">
        <v>262</v>
      </c>
      <c r="C41" s="8" t="s">
        <v>84</v>
      </c>
      <c r="D41" s="13" t="s">
        <v>18</v>
      </c>
      <c r="E41" s="11" t="s">
        <v>288</v>
      </c>
      <c r="F41" s="11" t="s">
        <v>289</v>
      </c>
      <c r="G41" s="11" t="s">
        <v>290</v>
      </c>
      <c r="H41" s="11" t="s">
        <v>291</v>
      </c>
      <c r="I41" s="11" t="s">
        <v>292</v>
      </c>
      <c r="J41" s="11" t="s">
        <v>50</v>
      </c>
      <c r="K41" s="8" t="s">
        <v>70</v>
      </c>
      <c r="L41" s="11"/>
      <c r="M41" s="8" t="s">
        <v>14</v>
      </c>
      <c r="N41" s="11"/>
    </row>
    <row r="42" customFormat="false" ht="23.85" hidden="false" customHeight="false" outlineLevel="0" collapsed="false">
      <c r="A42" s="8" t="s">
        <v>293</v>
      </c>
      <c r="B42" s="9" t="s">
        <v>262</v>
      </c>
      <c r="C42" s="8" t="s">
        <v>84</v>
      </c>
      <c r="D42" s="14" t="s">
        <v>21</v>
      </c>
      <c r="E42" s="11" t="s">
        <v>294</v>
      </c>
      <c r="F42" s="11" t="s">
        <v>295</v>
      </c>
      <c r="G42" s="11" t="s">
        <v>296</v>
      </c>
      <c r="H42" s="11" t="s">
        <v>297</v>
      </c>
      <c r="I42" s="11" t="s">
        <v>298</v>
      </c>
      <c r="J42" s="11" t="s">
        <v>280</v>
      </c>
      <c r="K42" s="8" t="s">
        <v>49</v>
      </c>
      <c r="L42" s="11"/>
      <c r="M42" s="8" t="s">
        <v>14</v>
      </c>
      <c r="N42" s="11"/>
    </row>
    <row r="43" customFormat="false" ht="23.85" hidden="false" customHeight="false" outlineLevel="0" collapsed="false">
      <c r="A43" s="8" t="s">
        <v>299</v>
      </c>
      <c r="B43" s="9" t="s">
        <v>300</v>
      </c>
      <c r="C43" s="8" t="s">
        <v>84</v>
      </c>
      <c r="D43" s="13" t="s">
        <v>18</v>
      </c>
      <c r="E43" s="11" t="s">
        <v>301</v>
      </c>
      <c r="F43" s="11" t="s">
        <v>302</v>
      </c>
      <c r="G43" s="11" t="s">
        <v>303</v>
      </c>
      <c r="H43" s="11" t="s">
        <v>304</v>
      </c>
      <c r="I43" s="11" t="s">
        <v>305</v>
      </c>
      <c r="J43" s="11" t="s">
        <v>213</v>
      </c>
      <c r="K43" s="8" t="s">
        <v>70</v>
      </c>
      <c r="L43" s="11"/>
      <c r="M43" s="8" t="s">
        <v>14</v>
      </c>
      <c r="N43" s="11"/>
    </row>
    <row r="44" customFormat="false" ht="23.85" hidden="false" customHeight="false" outlineLevel="0" collapsed="false">
      <c r="A44" s="8" t="s">
        <v>306</v>
      </c>
      <c r="B44" s="9" t="s">
        <v>300</v>
      </c>
      <c r="C44" s="8" t="s">
        <v>84</v>
      </c>
      <c r="D44" s="13" t="s">
        <v>18</v>
      </c>
      <c r="E44" s="11" t="s">
        <v>307</v>
      </c>
      <c r="F44" s="11" t="s">
        <v>308</v>
      </c>
      <c r="G44" s="11" t="s">
        <v>309</v>
      </c>
      <c r="H44" s="11" t="s">
        <v>310</v>
      </c>
      <c r="I44" s="11" t="s">
        <v>311</v>
      </c>
      <c r="J44" s="11" t="s">
        <v>312</v>
      </c>
      <c r="K44" s="8" t="s">
        <v>70</v>
      </c>
      <c r="L44" s="11"/>
      <c r="M44" s="8" t="s">
        <v>14</v>
      </c>
      <c r="N44" s="11"/>
    </row>
    <row r="45" customFormat="false" ht="23.85" hidden="false" customHeight="false" outlineLevel="0" collapsed="false">
      <c r="A45" s="8" t="s">
        <v>313</v>
      </c>
      <c r="B45" s="9" t="s">
        <v>300</v>
      </c>
      <c r="C45" s="8" t="s">
        <v>84</v>
      </c>
      <c r="D45" s="13" t="s">
        <v>18</v>
      </c>
      <c r="E45" s="11" t="s">
        <v>314</v>
      </c>
      <c r="F45" s="11" t="s">
        <v>315</v>
      </c>
      <c r="G45" s="11" t="s">
        <v>316</v>
      </c>
      <c r="H45" s="11" t="s">
        <v>317</v>
      </c>
      <c r="I45" s="11" t="s">
        <v>318</v>
      </c>
      <c r="J45" s="11" t="s">
        <v>213</v>
      </c>
      <c r="K45" s="8" t="s">
        <v>70</v>
      </c>
      <c r="L45" s="11"/>
      <c r="M45" s="8" t="s">
        <v>14</v>
      </c>
      <c r="N45" s="11"/>
    </row>
    <row r="46" customFormat="false" ht="23.85" hidden="false" customHeight="false" outlineLevel="0" collapsed="false">
      <c r="A46" s="8" t="s">
        <v>319</v>
      </c>
      <c r="B46" s="9" t="s">
        <v>300</v>
      </c>
      <c r="C46" s="8" t="s">
        <v>84</v>
      </c>
      <c r="D46" s="13" t="s">
        <v>18</v>
      </c>
      <c r="E46" s="11" t="s">
        <v>320</v>
      </c>
      <c r="F46" s="11" t="s">
        <v>321</v>
      </c>
      <c r="G46" s="11" t="s">
        <v>322</v>
      </c>
      <c r="H46" s="11" t="s">
        <v>323</v>
      </c>
      <c r="I46" s="11" t="s">
        <v>324</v>
      </c>
      <c r="J46" s="11" t="s">
        <v>213</v>
      </c>
      <c r="K46" s="8" t="s">
        <v>70</v>
      </c>
      <c r="L46" s="11"/>
      <c r="M46" s="8" t="s">
        <v>14</v>
      </c>
      <c r="N46" s="11"/>
    </row>
    <row r="47" customFormat="false" ht="15" hidden="false" customHeight="false" outlineLevel="0" collapsed="false">
      <c r="A47" s="8" t="s">
        <v>325</v>
      </c>
      <c r="B47" s="9" t="s">
        <v>300</v>
      </c>
      <c r="C47" s="8" t="s">
        <v>158</v>
      </c>
      <c r="D47" s="14" t="s">
        <v>21</v>
      </c>
      <c r="E47" s="11" t="s">
        <v>326</v>
      </c>
      <c r="F47" s="11" t="s">
        <v>327</v>
      </c>
      <c r="G47" s="11" t="s">
        <v>322</v>
      </c>
      <c r="H47" s="11" t="s">
        <v>328</v>
      </c>
      <c r="I47" s="11" t="s">
        <v>329</v>
      </c>
      <c r="J47" s="11" t="s">
        <v>319</v>
      </c>
      <c r="K47" s="8" t="s">
        <v>70</v>
      </c>
      <c r="L47" s="11"/>
      <c r="M47" s="8" t="s">
        <v>14</v>
      </c>
      <c r="N47" s="11"/>
    </row>
    <row r="48" customFormat="false" ht="23.85" hidden="false" customHeight="false" outlineLevel="0" collapsed="false">
      <c r="A48" s="8" t="s">
        <v>330</v>
      </c>
      <c r="B48" s="9" t="s">
        <v>300</v>
      </c>
      <c r="C48" s="8" t="s">
        <v>158</v>
      </c>
      <c r="D48" s="14" t="s">
        <v>21</v>
      </c>
      <c r="E48" s="11" t="s">
        <v>331</v>
      </c>
      <c r="F48" s="11" t="s">
        <v>332</v>
      </c>
      <c r="G48" s="11" t="s">
        <v>53</v>
      </c>
      <c r="H48" s="11" t="s">
        <v>333</v>
      </c>
      <c r="I48" s="11" t="s">
        <v>334</v>
      </c>
      <c r="J48" s="11" t="s">
        <v>335</v>
      </c>
      <c r="K48" s="8" t="s">
        <v>49</v>
      </c>
      <c r="L48" s="11"/>
      <c r="M48" s="8" t="s">
        <v>14</v>
      </c>
      <c r="N48" s="11"/>
    </row>
    <row r="49" customFormat="false" ht="23.85" hidden="false" customHeight="false" outlineLevel="0" collapsed="false">
      <c r="A49" s="8" t="s">
        <v>336</v>
      </c>
      <c r="B49" s="9" t="s">
        <v>337</v>
      </c>
      <c r="C49" s="8" t="s">
        <v>43</v>
      </c>
      <c r="D49" s="13" t="s">
        <v>18</v>
      </c>
      <c r="E49" s="11" t="s">
        <v>338</v>
      </c>
      <c r="F49" s="11" t="s">
        <v>339</v>
      </c>
      <c r="G49" s="11" t="s">
        <v>340</v>
      </c>
      <c r="H49" s="11" t="s">
        <v>341</v>
      </c>
      <c r="I49" s="11" t="s">
        <v>342</v>
      </c>
      <c r="J49" s="11"/>
      <c r="K49" s="8" t="s">
        <v>143</v>
      </c>
      <c r="L49" s="11"/>
      <c r="M49" s="8" t="s">
        <v>14</v>
      </c>
      <c r="N49" s="11"/>
    </row>
    <row r="50" customFormat="false" ht="23.85" hidden="false" customHeight="false" outlineLevel="0" collapsed="false">
      <c r="A50" s="8" t="s">
        <v>343</v>
      </c>
      <c r="B50" s="9" t="s">
        <v>337</v>
      </c>
      <c r="C50" s="8" t="s">
        <v>158</v>
      </c>
      <c r="D50" s="14" t="s">
        <v>21</v>
      </c>
      <c r="E50" s="11" t="s">
        <v>344</v>
      </c>
      <c r="F50" s="11" t="s">
        <v>345</v>
      </c>
      <c r="G50" s="11" t="s">
        <v>346</v>
      </c>
      <c r="H50" s="11" t="s">
        <v>347</v>
      </c>
      <c r="I50" s="11" t="s">
        <v>348</v>
      </c>
      <c r="J50" s="11" t="s">
        <v>336</v>
      </c>
      <c r="K50" s="8" t="s">
        <v>70</v>
      </c>
      <c r="L50" s="11"/>
      <c r="M50" s="8" t="s">
        <v>14</v>
      </c>
      <c r="N50" s="11"/>
    </row>
    <row r="51" customFormat="false" ht="23.85" hidden="false" customHeight="false" outlineLevel="0" collapsed="false">
      <c r="A51" s="8" t="s">
        <v>349</v>
      </c>
      <c r="B51" s="9" t="s">
        <v>337</v>
      </c>
      <c r="C51" s="8" t="s">
        <v>43</v>
      </c>
      <c r="D51" s="13" t="s">
        <v>18</v>
      </c>
      <c r="E51" s="11" t="s">
        <v>350</v>
      </c>
      <c r="F51" s="11" t="s">
        <v>351</v>
      </c>
      <c r="G51" s="11" t="s">
        <v>352</v>
      </c>
      <c r="H51" s="11" t="s">
        <v>353</v>
      </c>
      <c r="I51" s="11" t="s">
        <v>354</v>
      </c>
      <c r="J51" s="11"/>
      <c r="K51" s="8" t="s">
        <v>143</v>
      </c>
      <c r="L51" s="11"/>
      <c r="M51" s="8" t="s">
        <v>14</v>
      </c>
      <c r="N51" s="11"/>
    </row>
    <row r="52" customFormat="false" ht="23.85" hidden="false" customHeight="false" outlineLevel="0" collapsed="false">
      <c r="A52" s="8" t="s">
        <v>355</v>
      </c>
      <c r="B52" s="9" t="s">
        <v>337</v>
      </c>
      <c r="C52" s="8" t="s">
        <v>121</v>
      </c>
      <c r="D52" s="13" t="s">
        <v>18</v>
      </c>
      <c r="E52" s="11" t="s">
        <v>356</v>
      </c>
      <c r="F52" s="11" t="s">
        <v>357</v>
      </c>
      <c r="G52" s="11" t="s">
        <v>358</v>
      </c>
      <c r="H52" s="11" t="s">
        <v>356</v>
      </c>
      <c r="I52" s="11" t="s">
        <v>359</v>
      </c>
      <c r="J52" s="11"/>
      <c r="K52" s="8" t="s">
        <v>70</v>
      </c>
      <c r="L52" s="11"/>
      <c r="M52" s="8" t="s">
        <v>14</v>
      </c>
      <c r="N52" s="11"/>
    </row>
    <row r="53" customFormat="false" ht="23.85" hidden="false" customHeight="false" outlineLevel="0" collapsed="false">
      <c r="A53" s="8" t="s">
        <v>360</v>
      </c>
      <c r="B53" s="9" t="s">
        <v>337</v>
      </c>
      <c r="C53" s="8" t="s">
        <v>207</v>
      </c>
      <c r="D53" s="14" t="s">
        <v>21</v>
      </c>
      <c r="E53" s="11" t="s">
        <v>361</v>
      </c>
      <c r="F53" s="11" t="s">
        <v>362</v>
      </c>
      <c r="G53" s="11" t="s">
        <v>363</v>
      </c>
      <c r="H53" s="11" t="s">
        <v>364</v>
      </c>
      <c r="I53" s="11" t="s">
        <v>365</v>
      </c>
      <c r="J53" s="11" t="s">
        <v>366</v>
      </c>
      <c r="K53" s="8" t="s">
        <v>70</v>
      </c>
      <c r="L53" s="11"/>
      <c r="M53" s="8" t="s">
        <v>14</v>
      </c>
      <c r="N53" s="11"/>
    </row>
    <row r="54" customFormat="false" ht="15" hidden="false" customHeight="false" outlineLevel="0" collapsed="false">
      <c r="A54" s="8" t="s">
        <v>367</v>
      </c>
      <c r="B54" s="9" t="s">
        <v>337</v>
      </c>
      <c r="C54" s="8" t="s">
        <v>207</v>
      </c>
      <c r="D54" s="14" t="s">
        <v>21</v>
      </c>
      <c r="E54" s="11" t="s">
        <v>368</v>
      </c>
      <c r="F54" s="11" t="s">
        <v>369</v>
      </c>
      <c r="G54" s="11" t="s">
        <v>235</v>
      </c>
      <c r="H54" s="11" t="s">
        <v>370</v>
      </c>
      <c r="I54" s="11" t="s">
        <v>371</v>
      </c>
      <c r="J54" s="11"/>
      <c r="K54" s="8" t="s">
        <v>70</v>
      </c>
      <c r="L54" s="11"/>
      <c r="M54" s="8" t="s">
        <v>14</v>
      </c>
      <c r="N54" s="11"/>
    </row>
    <row r="55" customFormat="false" ht="23.85" hidden="false" customHeight="false" outlineLevel="0" collapsed="false">
      <c r="A55" s="8" t="s">
        <v>372</v>
      </c>
      <c r="B55" s="9" t="s">
        <v>337</v>
      </c>
      <c r="C55" s="8" t="s">
        <v>43</v>
      </c>
      <c r="D55" s="12" t="s">
        <v>15</v>
      </c>
      <c r="E55" s="11" t="s">
        <v>373</v>
      </c>
      <c r="F55" s="11" t="s">
        <v>374</v>
      </c>
      <c r="G55" s="11" t="s">
        <v>375</v>
      </c>
      <c r="H55" s="11" t="s">
        <v>376</v>
      </c>
      <c r="I55" s="11" t="s">
        <v>377</v>
      </c>
      <c r="J55" s="11"/>
      <c r="K55" s="8" t="s">
        <v>70</v>
      </c>
      <c r="L55" s="11"/>
      <c r="M55" s="8" t="s">
        <v>14</v>
      </c>
      <c r="N55" s="11"/>
    </row>
    <row r="56" customFormat="false" ht="23.85" hidden="false" customHeight="false" outlineLevel="0" collapsed="false">
      <c r="A56" s="8" t="s">
        <v>378</v>
      </c>
      <c r="B56" s="9" t="s">
        <v>337</v>
      </c>
      <c r="C56" s="8" t="s">
        <v>84</v>
      </c>
      <c r="D56" s="14" t="s">
        <v>21</v>
      </c>
      <c r="E56" s="11" t="s">
        <v>379</v>
      </c>
      <c r="F56" s="11" t="s">
        <v>380</v>
      </c>
      <c r="G56" s="11" t="s">
        <v>375</v>
      </c>
      <c r="H56" s="11" t="s">
        <v>381</v>
      </c>
      <c r="I56" s="11" t="s">
        <v>382</v>
      </c>
      <c r="J56" s="11" t="s">
        <v>383</v>
      </c>
      <c r="K56" s="8" t="s">
        <v>49</v>
      </c>
      <c r="L56" s="11"/>
      <c r="M56" s="8" t="s">
        <v>14</v>
      </c>
      <c r="N56" s="11"/>
    </row>
    <row r="57" customFormat="false" ht="23.85" hidden="false" customHeight="false" outlineLevel="0" collapsed="false">
      <c r="A57" s="8" t="s">
        <v>384</v>
      </c>
      <c r="B57" s="9" t="s">
        <v>337</v>
      </c>
      <c r="C57" s="8" t="s">
        <v>43</v>
      </c>
      <c r="D57" s="13" t="s">
        <v>18</v>
      </c>
      <c r="E57" s="11" t="s">
        <v>385</v>
      </c>
      <c r="F57" s="11" t="s">
        <v>386</v>
      </c>
      <c r="G57" s="11" t="s">
        <v>387</v>
      </c>
      <c r="H57" s="11" t="s">
        <v>388</v>
      </c>
      <c r="I57" s="11" t="s">
        <v>389</v>
      </c>
      <c r="J57" s="11" t="s">
        <v>390</v>
      </c>
      <c r="K57" s="8" t="s">
        <v>49</v>
      </c>
      <c r="L57" s="11"/>
      <c r="M57" s="8" t="s">
        <v>14</v>
      </c>
      <c r="N57" s="11"/>
    </row>
  </sheetData>
  <dataValidations count="3">
    <dataValidation allowBlank="true" errorStyle="stop" operator="between" showDropDown="false" showErrorMessage="false" showInputMessage="false" sqref="M2:M57" type="list">
      <formula1>"Not Started,In Progress,Blocked,In Review,Done"</formula1>
      <formula2>0</formula2>
    </dataValidation>
    <dataValidation allowBlank="true" errorStyle="stop" operator="between" showDropDown="false" showErrorMessage="false" showInputMessage="false" sqref="D2:D57" type="list">
      <formula1>"P0,P1,P2,-"</formula1>
      <formula2>0</formula2>
    </dataValidation>
    <dataValidation allowBlank="true" errorStyle="stop" operator="between" showDropDown="false" showErrorMessage="false" showInputMessage="false" sqref="K2:K57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46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391</v>
      </c>
    </row>
    <row r="2" customFormat="false" ht="15" hidden="false" customHeight="false" outlineLevel="0" collapsed="false">
      <c r="A2" s="2" t="s">
        <v>392</v>
      </c>
    </row>
    <row r="4" customFormat="false" ht="27.75" hidden="false" customHeight="true" outlineLevel="0" collapsed="false">
      <c r="A4" s="7" t="s">
        <v>31</v>
      </c>
      <c r="B4" s="7" t="s">
        <v>393</v>
      </c>
      <c r="C4" s="7" t="s">
        <v>394</v>
      </c>
      <c r="D4" s="7" t="s">
        <v>395</v>
      </c>
      <c r="E4" s="7" t="s">
        <v>396</v>
      </c>
      <c r="F4" s="7" t="s">
        <v>397</v>
      </c>
    </row>
    <row r="5" customFormat="false" ht="23.85" hidden="false" customHeight="false" outlineLevel="0" collapsed="false">
      <c r="A5" s="15" t="s">
        <v>43</v>
      </c>
      <c r="B5" s="8" t="s">
        <v>398</v>
      </c>
      <c r="C5" s="8" t="s">
        <v>399</v>
      </c>
      <c r="D5" s="11" t="s">
        <v>400</v>
      </c>
      <c r="E5" s="11" t="s">
        <v>401</v>
      </c>
      <c r="F5" s="8" t="n">
        <f aca="false">COUNTIF('Master Task List'!$C:$C,A5)</f>
        <v>11</v>
      </c>
    </row>
    <row r="6" customFormat="false" ht="23.85" hidden="false" customHeight="false" outlineLevel="0" collapsed="false">
      <c r="A6" s="15" t="s">
        <v>64</v>
      </c>
      <c r="B6" s="8" t="s">
        <v>402</v>
      </c>
      <c r="C6" s="8" t="s">
        <v>403</v>
      </c>
      <c r="D6" s="11" t="s">
        <v>404</v>
      </c>
      <c r="E6" s="11" t="s">
        <v>405</v>
      </c>
      <c r="F6" s="8" t="n">
        <f aca="false">COUNTIF('Master Task List'!$C:$C,A6)</f>
        <v>9</v>
      </c>
    </row>
    <row r="7" customFormat="false" ht="23.85" hidden="false" customHeight="false" outlineLevel="0" collapsed="false">
      <c r="A7" s="15" t="s">
        <v>121</v>
      </c>
      <c r="B7" s="8" t="s">
        <v>406</v>
      </c>
      <c r="C7" s="8" t="s">
        <v>407</v>
      </c>
      <c r="D7" s="11" t="s">
        <v>408</v>
      </c>
      <c r="E7" s="11" t="s">
        <v>409</v>
      </c>
      <c r="F7" s="8" t="n">
        <f aca="false">COUNTIF('Master Task List'!$C:$C,A7)</f>
        <v>13</v>
      </c>
    </row>
    <row r="8" customFormat="false" ht="23.85" hidden="false" customHeight="false" outlineLevel="0" collapsed="false">
      <c r="A8" s="15" t="s">
        <v>207</v>
      </c>
      <c r="B8" s="8" t="s">
        <v>410</v>
      </c>
      <c r="C8" s="8" t="s">
        <v>411</v>
      </c>
      <c r="D8" s="11" t="s">
        <v>412</v>
      </c>
      <c r="E8" s="11" t="s">
        <v>413</v>
      </c>
      <c r="F8" s="8" t="n">
        <f aca="false">COUNTIF('Master Task List'!$C:$C,A8)</f>
        <v>6</v>
      </c>
    </row>
    <row r="9" customFormat="false" ht="23.85" hidden="false" customHeight="false" outlineLevel="0" collapsed="false">
      <c r="A9" s="15" t="s">
        <v>84</v>
      </c>
      <c r="B9" s="8" t="s">
        <v>414</v>
      </c>
      <c r="C9" s="8" t="s">
        <v>415</v>
      </c>
      <c r="D9" s="11" t="s">
        <v>416</v>
      </c>
      <c r="E9" s="11" t="s">
        <v>417</v>
      </c>
      <c r="F9" s="8" t="n">
        <f aca="false">COUNTIF('Master Task List'!$C:$C,A9)</f>
        <v>13</v>
      </c>
    </row>
    <row r="10" customFormat="false" ht="23.85" hidden="false" customHeight="false" outlineLevel="0" collapsed="false">
      <c r="A10" s="15" t="s">
        <v>158</v>
      </c>
      <c r="B10" s="8" t="s">
        <v>418</v>
      </c>
      <c r="C10" s="8" t="s">
        <v>419</v>
      </c>
      <c r="D10" s="11" t="s">
        <v>420</v>
      </c>
      <c r="E10" s="11" t="s">
        <v>421</v>
      </c>
      <c r="F10" s="8" t="n">
        <f aca="false">COUNTIF('Master Task List'!$C:$C,A10)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0"/>
    <col collapsed="false" customWidth="true" hidden="false" outlineLevel="0" max="5" min="4" style="0" width="2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27.75" hidden="false" customHeight="true" outlineLevel="0" collapsed="false">
      <c r="A4" s="7" t="s">
        <v>30</v>
      </c>
      <c r="B4" s="7" t="s">
        <v>424</v>
      </c>
      <c r="C4" s="7" t="s">
        <v>425</v>
      </c>
      <c r="D4" s="7" t="s">
        <v>426</v>
      </c>
      <c r="E4" s="7" t="s">
        <v>427</v>
      </c>
      <c r="F4" s="7" t="s">
        <v>397</v>
      </c>
    </row>
    <row r="5" customFormat="false" ht="15" hidden="false" customHeight="false" outlineLevel="0" collapsed="false">
      <c r="A5" s="16" t="s">
        <v>42</v>
      </c>
      <c r="B5" s="11" t="s">
        <v>428</v>
      </c>
      <c r="C5" s="11" t="s">
        <v>429</v>
      </c>
      <c r="D5" s="11" t="s">
        <v>24</v>
      </c>
      <c r="E5" s="11" t="s">
        <v>430</v>
      </c>
      <c r="F5" s="8" t="n">
        <f aca="false">COUNTIF('Master Task List'!$B:$B,A5)</f>
        <v>3</v>
      </c>
    </row>
    <row r="6" customFormat="false" ht="15" hidden="false" customHeight="false" outlineLevel="0" collapsed="false">
      <c r="A6" s="16" t="s">
        <v>63</v>
      </c>
      <c r="B6" s="11" t="s">
        <v>431</v>
      </c>
      <c r="C6" s="11" t="s">
        <v>432</v>
      </c>
      <c r="D6" s="11" t="s">
        <v>42</v>
      </c>
      <c r="E6" s="11" t="s">
        <v>433</v>
      </c>
      <c r="F6" s="8" t="n">
        <f aca="false">COUNTIF('Master Task List'!$B:$B,A6)</f>
        <v>6</v>
      </c>
    </row>
    <row r="7" customFormat="false" ht="15" hidden="false" customHeight="false" outlineLevel="0" collapsed="false">
      <c r="A7" s="16" t="s">
        <v>103</v>
      </c>
      <c r="B7" s="11" t="s">
        <v>434</v>
      </c>
      <c r="C7" s="11" t="s">
        <v>435</v>
      </c>
      <c r="D7" s="11" t="s">
        <v>436</v>
      </c>
      <c r="E7" s="11" t="s">
        <v>437</v>
      </c>
      <c r="F7" s="8" t="n">
        <f aca="false">COUNTIF('Master Task List'!$B:$B,A7)</f>
        <v>10</v>
      </c>
    </row>
    <row r="8" customFormat="false" ht="15" hidden="false" customHeight="false" outlineLevel="0" collapsed="false">
      <c r="A8" s="16" t="s">
        <v>164</v>
      </c>
      <c r="B8" s="11" t="s">
        <v>438</v>
      </c>
      <c r="C8" s="11" t="s">
        <v>439</v>
      </c>
      <c r="D8" s="11" t="s">
        <v>24</v>
      </c>
      <c r="E8" s="11" t="s">
        <v>440</v>
      </c>
      <c r="F8" s="8" t="n">
        <f aca="false">COUNTIF('Master Task List'!$B:$B,A8)</f>
        <v>8</v>
      </c>
    </row>
    <row r="9" customFormat="false" ht="15" hidden="false" customHeight="false" outlineLevel="0" collapsed="false">
      <c r="A9" s="16" t="s">
        <v>214</v>
      </c>
      <c r="B9" s="11" t="s">
        <v>441</v>
      </c>
      <c r="C9" s="11" t="s">
        <v>442</v>
      </c>
      <c r="D9" s="11" t="s">
        <v>42</v>
      </c>
      <c r="E9" s="11" t="s">
        <v>443</v>
      </c>
      <c r="F9" s="8" t="n">
        <f aca="false">COUNTIF('Master Task List'!$B:$B,A9)</f>
        <v>8</v>
      </c>
    </row>
    <row r="10" customFormat="false" ht="15" hidden="false" customHeight="false" outlineLevel="0" collapsed="false">
      <c r="A10" s="16" t="s">
        <v>262</v>
      </c>
      <c r="B10" s="11" t="s">
        <v>444</v>
      </c>
      <c r="C10" s="11" t="s">
        <v>445</v>
      </c>
      <c r="D10" s="11" t="s">
        <v>42</v>
      </c>
      <c r="E10" s="11" t="s">
        <v>24</v>
      </c>
      <c r="F10" s="8" t="n">
        <f aca="false">COUNTIF('Master Task List'!$B:$B,A10)</f>
        <v>6</v>
      </c>
    </row>
    <row r="11" customFormat="false" ht="15" hidden="false" customHeight="false" outlineLevel="0" collapsed="false">
      <c r="A11" s="16" t="s">
        <v>300</v>
      </c>
      <c r="B11" s="11" t="s">
        <v>446</v>
      </c>
      <c r="C11" s="11" t="s">
        <v>447</v>
      </c>
      <c r="D11" s="11" t="s">
        <v>448</v>
      </c>
      <c r="E11" s="11" t="s">
        <v>24</v>
      </c>
      <c r="F11" s="8" t="n">
        <f aca="false">COUNTIF('Master Task List'!$B:$B,A11)</f>
        <v>6</v>
      </c>
    </row>
    <row r="12" customFormat="false" ht="15" hidden="false" customHeight="false" outlineLevel="0" collapsed="false">
      <c r="A12" s="16" t="s">
        <v>337</v>
      </c>
      <c r="B12" s="11" t="s">
        <v>449</v>
      </c>
      <c r="C12" s="11" t="s">
        <v>450</v>
      </c>
      <c r="D12" s="11" t="s">
        <v>451</v>
      </c>
      <c r="E12" s="11" t="s">
        <v>452</v>
      </c>
      <c r="F12" s="8" t="n">
        <f aca="false">COUNTIF('Master Task List'!$B:$B,A12)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2026-10-16T18:13:13Z</dcterms:created>
  <dc:creator>openpyxl</dc:creator>
  <dc:description/>
  <dc:language>en-US</dc:language>
  <cp:lastModifiedBy/>
  <dcterms:modified xsi:type="dcterms:W3CDTF">2026-10-16T18:13:13Z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